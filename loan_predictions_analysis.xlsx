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LENOVO\"/>
    </mc:Choice>
  </mc:AlternateContent>
  <xr:revisionPtr revIDLastSave="0" documentId="13_ncr:1_{C17BD419-4B9D-4B43-BA68-F97B8DAD95DD}" xr6:coauthVersionLast="47" xr6:coauthVersionMax="47" xr10:uidLastSave="{00000000-0000-0000-0000-000000000000}"/>
  <bookViews>
    <workbookView xWindow="-110" yWindow="-110" windowWidth="19420" windowHeight="11500" tabRatio="1000" activeTab="6" xr2:uid="{00000000-000D-0000-FFFF-FFFF00000000}"/>
  </bookViews>
  <sheets>
    <sheet name="Loan Approval" sheetId="3" r:id="rId1"/>
    <sheet name="Areawise Loan Approval" sheetId="4" r:id="rId2"/>
    <sheet name="Gender VS Average Income" sheetId="6" r:id="rId3"/>
    <sheet name="Education Vs Loan status" sheetId="7" r:id="rId4"/>
    <sheet name="Average loan amount" sheetId="12" r:id="rId5"/>
    <sheet name="Sheet1" sheetId="1" r:id="rId6"/>
    <sheet name="Dashboard" sheetId="13" r:id="rId7"/>
  </sheets>
  <definedNames>
    <definedName name="Slicer_Gender">#N/A</definedName>
    <definedName name="Slicer_Loan_Status_Predicted">#N/A</definedName>
    <definedName name="Slicer_Property_Area">#N/A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D9" i="12" l="1"/>
  <c r="D5" i="12"/>
  <c r="Q4" i="1"/>
  <c r="B12" i="3"/>
  <c r="B8" i="3"/>
</calcChain>
</file>

<file path=xl/sharedStrings.xml><?xml version="1.0" encoding="utf-8"?>
<sst xmlns="http://schemas.openxmlformats.org/spreadsheetml/2006/main" count="3027" uniqueCount="406">
  <si>
    <t>Loan_ID</t>
  </si>
  <si>
    <t>Gender</t>
  </si>
  <si>
    <t>Married</t>
  </si>
  <si>
    <t>Dependents</t>
  </si>
  <si>
    <t>Education</t>
  </si>
  <si>
    <t>Self_Employed</t>
  </si>
  <si>
    <t>ApplicantIncome</t>
  </si>
  <si>
    <t>CoapplicantIncome</t>
  </si>
  <si>
    <t>LoanAmount</t>
  </si>
  <si>
    <t>Loan_Amount_Term</t>
  </si>
  <si>
    <t>Credit_History</t>
  </si>
  <si>
    <t>Property_Area</t>
  </si>
  <si>
    <t>Total_Income</t>
  </si>
  <si>
    <t>Loan_Income_Ratio</t>
  </si>
  <si>
    <t>Loan_Status_Predicted</t>
  </si>
  <si>
    <t>LP001015</t>
  </si>
  <si>
    <t>Male</t>
  </si>
  <si>
    <t>Yes</t>
  </si>
  <si>
    <t>Graduate</t>
  </si>
  <si>
    <t>No</t>
  </si>
  <si>
    <t>Urban</t>
  </si>
  <si>
    <t>Approved</t>
  </si>
  <si>
    <t>LP001022</t>
  </si>
  <si>
    <t>LP001031</t>
  </si>
  <si>
    <t>LP001035</t>
  </si>
  <si>
    <t>LP001051</t>
  </si>
  <si>
    <t>Not Graduate</t>
  </si>
  <si>
    <t>LP001054</t>
  </si>
  <si>
    <t>LP001055</t>
  </si>
  <si>
    <t>Female</t>
  </si>
  <si>
    <t>Semiurban</t>
  </si>
  <si>
    <t>LP001056</t>
  </si>
  <si>
    <t>Rural</t>
  </si>
  <si>
    <t>Rejected</t>
  </si>
  <si>
    <t>LP001059</t>
  </si>
  <si>
    <t>LP001067</t>
  </si>
  <si>
    <t>LP001078</t>
  </si>
  <si>
    <t>LP001082</t>
  </si>
  <si>
    <t>LP001083</t>
  </si>
  <si>
    <t>3+</t>
  </si>
  <si>
    <t>LP001094</t>
  </si>
  <si>
    <t>LP001096</t>
  </si>
  <si>
    <t>LP001099</t>
  </si>
  <si>
    <t>LP001105</t>
  </si>
  <si>
    <t>LP001107</t>
  </si>
  <si>
    <t>LP001108</t>
  </si>
  <si>
    <t>LP001115</t>
  </si>
  <si>
    <t>LP001121</t>
  </si>
  <si>
    <t>LP001124</t>
  </si>
  <si>
    <t>LP001128</t>
  </si>
  <si>
    <t>LP001135</t>
  </si>
  <si>
    <t>LP001149</t>
  </si>
  <si>
    <t>LP001153</t>
  </si>
  <si>
    <t>LP001163</t>
  </si>
  <si>
    <t>LP001169</t>
  </si>
  <si>
    <t>LP001174</t>
  </si>
  <si>
    <t>LP001176</t>
  </si>
  <si>
    <t>LP001177</t>
  </si>
  <si>
    <t>LP001183</t>
  </si>
  <si>
    <t>LP001185</t>
  </si>
  <si>
    <t>LP001187</t>
  </si>
  <si>
    <t>LP001190</t>
  </si>
  <si>
    <t>LP001203</t>
  </si>
  <si>
    <t>LP001208</t>
  </si>
  <si>
    <t>LP001210</t>
  </si>
  <si>
    <t>LP001211</t>
  </si>
  <si>
    <t>LP001219</t>
  </si>
  <si>
    <t>LP001220</t>
  </si>
  <si>
    <t>LP001221</t>
  </si>
  <si>
    <t>LP001226</t>
  </si>
  <si>
    <t>LP001230</t>
  </si>
  <si>
    <t>LP001231</t>
  </si>
  <si>
    <t>LP001232</t>
  </si>
  <si>
    <t>LP001237</t>
  </si>
  <si>
    <t>LP001242</t>
  </si>
  <si>
    <t>LP001268</t>
  </si>
  <si>
    <t>LP001270</t>
  </si>
  <si>
    <t>LP001284</t>
  </si>
  <si>
    <t>LP001287</t>
  </si>
  <si>
    <t>LP001291</t>
  </si>
  <si>
    <t>LP001298</t>
  </si>
  <si>
    <t>LP001312</t>
  </si>
  <si>
    <t>LP001313</t>
  </si>
  <si>
    <t>LP001317</t>
  </si>
  <si>
    <t>LP001321</t>
  </si>
  <si>
    <t>LP001323</t>
  </si>
  <si>
    <t>LP001324</t>
  </si>
  <si>
    <t>LP001332</t>
  </si>
  <si>
    <t>LP001335</t>
  </si>
  <si>
    <t>LP001338</t>
  </si>
  <si>
    <t>LP001347</t>
  </si>
  <si>
    <t>LP001348</t>
  </si>
  <si>
    <t>LP001351</t>
  </si>
  <si>
    <t>LP001352</t>
  </si>
  <si>
    <t>LP001358</t>
  </si>
  <si>
    <t>LP001359</t>
  </si>
  <si>
    <t>LP001361</t>
  </si>
  <si>
    <t>LP001366</t>
  </si>
  <si>
    <t>LP001368</t>
  </si>
  <si>
    <t>LP001375</t>
  </si>
  <si>
    <t>LP001380</t>
  </si>
  <si>
    <t>LP001386</t>
  </si>
  <si>
    <t>LP001400</t>
  </si>
  <si>
    <t>LP001407</t>
  </si>
  <si>
    <t>LP001413</t>
  </si>
  <si>
    <t>LP001415</t>
  </si>
  <si>
    <t>LP001419</t>
  </si>
  <si>
    <t>LP001420</t>
  </si>
  <si>
    <t>LP001428</t>
  </si>
  <si>
    <t>LP001445</t>
  </si>
  <si>
    <t>LP001446</t>
  </si>
  <si>
    <t>LP001450</t>
  </si>
  <si>
    <t>LP001452</t>
  </si>
  <si>
    <t>LP001455</t>
  </si>
  <si>
    <t>LP001466</t>
  </si>
  <si>
    <t>LP001471</t>
  </si>
  <si>
    <t>LP001472</t>
  </si>
  <si>
    <t>LP001475</t>
  </si>
  <si>
    <t>LP001483</t>
  </si>
  <si>
    <t>LP001486</t>
  </si>
  <si>
    <t>LP001490</t>
  </si>
  <si>
    <t>LP001496</t>
  </si>
  <si>
    <t>LP001499</t>
  </si>
  <si>
    <t>LP001500</t>
  </si>
  <si>
    <t>LP001501</t>
  </si>
  <si>
    <t>LP001517</t>
  </si>
  <si>
    <t>LP001527</t>
  </si>
  <si>
    <t>LP001534</t>
  </si>
  <si>
    <t>LP001542</t>
  </si>
  <si>
    <t>LP001547</t>
  </si>
  <si>
    <t>LP001548</t>
  </si>
  <si>
    <t>LP001558</t>
  </si>
  <si>
    <t>LP001561</t>
  </si>
  <si>
    <t>LP001563</t>
  </si>
  <si>
    <t>LP001567</t>
  </si>
  <si>
    <t>LP001568</t>
  </si>
  <si>
    <t>LP001573</t>
  </si>
  <si>
    <t>LP001584</t>
  </si>
  <si>
    <t>LP001587</t>
  </si>
  <si>
    <t>LP001589</t>
  </si>
  <si>
    <t>LP001591</t>
  </si>
  <si>
    <t>LP001599</t>
  </si>
  <si>
    <t>LP001601</t>
  </si>
  <si>
    <t>LP001607</t>
  </si>
  <si>
    <t>LP001611</t>
  </si>
  <si>
    <t>LP001613</t>
  </si>
  <si>
    <t>LP001622</t>
  </si>
  <si>
    <t>LP001627</t>
  </si>
  <si>
    <t>LP001650</t>
  </si>
  <si>
    <t>LP001651</t>
  </si>
  <si>
    <t>LP001652</t>
  </si>
  <si>
    <t>LP001655</t>
  </si>
  <si>
    <t>LP001660</t>
  </si>
  <si>
    <t>LP001662</t>
  </si>
  <si>
    <t>LP001663</t>
  </si>
  <si>
    <t>LP001667</t>
  </si>
  <si>
    <t>LP001695</t>
  </si>
  <si>
    <t>LP001703</t>
  </si>
  <si>
    <t>LP001718</t>
  </si>
  <si>
    <t>LP001728</t>
  </si>
  <si>
    <t>LP001735</t>
  </si>
  <si>
    <t>LP001737</t>
  </si>
  <si>
    <t>LP001739</t>
  </si>
  <si>
    <t>LP001742</t>
  </si>
  <si>
    <t>LP001757</t>
  </si>
  <si>
    <t>LP001769</t>
  </si>
  <si>
    <t>LP001771</t>
  </si>
  <si>
    <t>LP001785</t>
  </si>
  <si>
    <t>LP001787</t>
  </si>
  <si>
    <t>LP001789</t>
  </si>
  <si>
    <t>LP001791</t>
  </si>
  <si>
    <t>LP001794</t>
  </si>
  <si>
    <t>LP001797</t>
  </si>
  <si>
    <t>LP001815</t>
  </si>
  <si>
    <t>LP001817</t>
  </si>
  <si>
    <t>LP001818</t>
  </si>
  <si>
    <t>LP001822</t>
  </si>
  <si>
    <t>LP001827</t>
  </si>
  <si>
    <t>LP001831</t>
  </si>
  <si>
    <t>LP001842</t>
  </si>
  <si>
    <t>LP001853</t>
  </si>
  <si>
    <t>LP001855</t>
  </si>
  <si>
    <t>LP001857</t>
  </si>
  <si>
    <t>LP001862</t>
  </si>
  <si>
    <t>LP001867</t>
  </si>
  <si>
    <t>LP001878</t>
  </si>
  <si>
    <t>LP001881</t>
  </si>
  <si>
    <t>LP001886</t>
  </si>
  <si>
    <t>LP001906</t>
  </si>
  <si>
    <t>LP001909</t>
  </si>
  <si>
    <t>LP001911</t>
  </si>
  <si>
    <t>LP001921</t>
  </si>
  <si>
    <t>LP001923</t>
  </si>
  <si>
    <t>LP001933</t>
  </si>
  <si>
    <t>LP001943</t>
  </si>
  <si>
    <t>LP001950</t>
  </si>
  <si>
    <t>LP001959</t>
  </si>
  <si>
    <t>LP001961</t>
  </si>
  <si>
    <t>LP001973</t>
  </si>
  <si>
    <t>LP001975</t>
  </si>
  <si>
    <t>LP001979</t>
  </si>
  <si>
    <t>LP001995</t>
  </si>
  <si>
    <t>LP001999</t>
  </si>
  <si>
    <t>LP002007</t>
  </si>
  <si>
    <t>LP002009</t>
  </si>
  <si>
    <t>LP002016</t>
  </si>
  <si>
    <t>LP002017</t>
  </si>
  <si>
    <t>LP002018</t>
  </si>
  <si>
    <t>LP002027</t>
  </si>
  <si>
    <t>LP002028</t>
  </si>
  <si>
    <t>LP002042</t>
  </si>
  <si>
    <t>LP002045</t>
  </si>
  <si>
    <t>LP002046</t>
  </si>
  <si>
    <t>LP002047</t>
  </si>
  <si>
    <t>LP002056</t>
  </si>
  <si>
    <t>LP002057</t>
  </si>
  <si>
    <t>LP002059</t>
  </si>
  <si>
    <t>LP002062</t>
  </si>
  <si>
    <t>LP002064</t>
  </si>
  <si>
    <t>LP002069</t>
  </si>
  <si>
    <t>LP002070</t>
  </si>
  <si>
    <t>LP002077</t>
  </si>
  <si>
    <t>LP002083</t>
  </si>
  <si>
    <t>LP002090</t>
  </si>
  <si>
    <t>LP002096</t>
  </si>
  <si>
    <t>LP002099</t>
  </si>
  <si>
    <t>LP002102</t>
  </si>
  <si>
    <t>LP002105</t>
  </si>
  <si>
    <t>LP002107</t>
  </si>
  <si>
    <t>LP002111</t>
  </si>
  <si>
    <t>LP002117</t>
  </si>
  <si>
    <t>LP002118</t>
  </si>
  <si>
    <t>LP002123</t>
  </si>
  <si>
    <t>LP002125</t>
  </si>
  <si>
    <t>LP002148</t>
  </si>
  <si>
    <t>LP002152</t>
  </si>
  <si>
    <t>LP002165</t>
  </si>
  <si>
    <t>LP002167</t>
  </si>
  <si>
    <t>LP002168</t>
  </si>
  <si>
    <t>LP002172</t>
  </si>
  <si>
    <t>LP002176</t>
  </si>
  <si>
    <t>LP002183</t>
  </si>
  <si>
    <t>LP002184</t>
  </si>
  <si>
    <t>LP002186</t>
  </si>
  <si>
    <t>LP002192</t>
  </si>
  <si>
    <t>LP002195</t>
  </si>
  <si>
    <t>LP002208</t>
  </si>
  <si>
    <t>LP002212</t>
  </si>
  <si>
    <t>LP002240</t>
  </si>
  <si>
    <t>LP002245</t>
  </si>
  <si>
    <t>LP002253</t>
  </si>
  <si>
    <t>LP002256</t>
  </si>
  <si>
    <t>LP002257</t>
  </si>
  <si>
    <t>LP002264</t>
  </si>
  <si>
    <t>LP002270</t>
  </si>
  <si>
    <t>LP002279</t>
  </si>
  <si>
    <t>LP002286</t>
  </si>
  <si>
    <t>LP002294</t>
  </si>
  <si>
    <t>LP002298</t>
  </si>
  <si>
    <t>LP002306</t>
  </si>
  <si>
    <t>LP002310</t>
  </si>
  <si>
    <t>LP002311</t>
  </si>
  <si>
    <t>LP002316</t>
  </si>
  <si>
    <t>LP002321</t>
  </si>
  <si>
    <t>LP002325</t>
  </si>
  <si>
    <t>LP002326</t>
  </si>
  <si>
    <t>LP002329</t>
  </si>
  <si>
    <t>LP002333</t>
  </si>
  <si>
    <t>LP002339</t>
  </si>
  <si>
    <t>LP002344</t>
  </si>
  <si>
    <t>LP002346</t>
  </si>
  <si>
    <t>LP002354</t>
  </si>
  <si>
    <t>LP002355</t>
  </si>
  <si>
    <t>LP002358</t>
  </si>
  <si>
    <t>LP002360</t>
  </si>
  <si>
    <t>LP002375</t>
  </si>
  <si>
    <t>LP002376</t>
  </si>
  <si>
    <t>LP002383</t>
  </si>
  <si>
    <t>LP002385</t>
  </si>
  <si>
    <t>LP002389</t>
  </si>
  <si>
    <t>LP002394</t>
  </si>
  <si>
    <t>LP002397</t>
  </si>
  <si>
    <t>LP002399</t>
  </si>
  <si>
    <t>LP002400</t>
  </si>
  <si>
    <t>LP002402</t>
  </si>
  <si>
    <t>LP002412</t>
  </si>
  <si>
    <t>LP002415</t>
  </si>
  <si>
    <t>LP002417</t>
  </si>
  <si>
    <t>LP002420</t>
  </si>
  <si>
    <t>LP002425</t>
  </si>
  <si>
    <t>LP002433</t>
  </si>
  <si>
    <t>LP002440</t>
  </si>
  <si>
    <t>LP002441</t>
  </si>
  <si>
    <t>LP002442</t>
  </si>
  <si>
    <t>LP002445</t>
  </si>
  <si>
    <t>LP002450</t>
  </si>
  <si>
    <t>LP002471</t>
  </si>
  <si>
    <t>LP002476</t>
  </si>
  <si>
    <t>LP002482</t>
  </si>
  <si>
    <t>LP002485</t>
  </si>
  <si>
    <t>LP002495</t>
  </si>
  <si>
    <t>LP002496</t>
  </si>
  <si>
    <t>LP002523</t>
  </si>
  <si>
    <t>LP002542</t>
  </si>
  <si>
    <t>LP002550</t>
  </si>
  <si>
    <t>LP002551</t>
  </si>
  <si>
    <t>LP002553</t>
  </si>
  <si>
    <t>LP002554</t>
  </si>
  <si>
    <t>LP002561</t>
  </si>
  <si>
    <t>LP002566</t>
  </si>
  <si>
    <t>LP002568</t>
  </si>
  <si>
    <t>LP002570</t>
  </si>
  <si>
    <t>LP002572</t>
  </si>
  <si>
    <t>LP002581</t>
  </si>
  <si>
    <t>LP002584</t>
  </si>
  <si>
    <t>LP002592</t>
  </si>
  <si>
    <t>LP002593</t>
  </si>
  <si>
    <t>LP002599</t>
  </si>
  <si>
    <t>LP002604</t>
  </si>
  <si>
    <t>LP002605</t>
  </si>
  <si>
    <t>LP002609</t>
  </si>
  <si>
    <t>LP002610</t>
  </si>
  <si>
    <t>LP002612</t>
  </si>
  <si>
    <t>LP002614</t>
  </si>
  <si>
    <t>LP002630</t>
  </si>
  <si>
    <t>LP002635</t>
  </si>
  <si>
    <t>LP002639</t>
  </si>
  <si>
    <t>LP002644</t>
  </si>
  <si>
    <t>LP002651</t>
  </si>
  <si>
    <t>LP002654</t>
  </si>
  <si>
    <t>LP002657</t>
  </si>
  <si>
    <t>LP002711</t>
  </si>
  <si>
    <t>LP002712</t>
  </si>
  <si>
    <t>LP002721</t>
  </si>
  <si>
    <t>LP002735</t>
  </si>
  <si>
    <t>LP002744</t>
  </si>
  <si>
    <t>LP002745</t>
  </si>
  <si>
    <t>LP002746</t>
  </si>
  <si>
    <t>LP002747</t>
  </si>
  <si>
    <t>LP002754</t>
  </si>
  <si>
    <t>LP002759</t>
  </si>
  <si>
    <t>LP002760</t>
  </si>
  <si>
    <t>LP002766</t>
  </si>
  <si>
    <t>LP002769</t>
  </si>
  <si>
    <t>LP002774</t>
  </si>
  <si>
    <t>LP002775</t>
  </si>
  <si>
    <t>LP002781</t>
  </si>
  <si>
    <t>LP002782</t>
  </si>
  <si>
    <t>LP002786</t>
  </si>
  <si>
    <t>LP002790</t>
  </si>
  <si>
    <t>LP002791</t>
  </si>
  <si>
    <t>LP002793</t>
  </si>
  <si>
    <t>LP002802</t>
  </si>
  <si>
    <t>LP002803</t>
  </si>
  <si>
    <t>LP002805</t>
  </si>
  <si>
    <t>LP002806</t>
  </si>
  <si>
    <t>LP002816</t>
  </si>
  <si>
    <t>LP002823</t>
  </si>
  <si>
    <t>LP002825</t>
  </si>
  <si>
    <t>LP002826</t>
  </si>
  <si>
    <t>LP002843</t>
  </si>
  <si>
    <t>LP002849</t>
  </si>
  <si>
    <t>LP002850</t>
  </si>
  <si>
    <t>LP002853</t>
  </si>
  <si>
    <t>LP002856</t>
  </si>
  <si>
    <t>LP002857</t>
  </si>
  <si>
    <t>LP002858</t>
  </si>
  <si>
    <t>LP002860</t>
  </si>
  <si>
    <t>LP002867</t>
  </si>
  <si>
    <t>LP002869</t>
  </si>
  <si>
    <t>LP002870</t>
  </si>
  <si>
    <t>LP002876</t>
  </si>
  <si>
    <t>LP002878</t>
  </si>
  <si>
    <t>LP002879</t>
  </si>
  <si>
    <t>LP002885</t>
  </si>
  <si>
    <t>LP002890</t>
  </si>
  <si>
    <t>LP002891</t>
  </si>
  <si>
    <t>LP002899</t>
  </si>
  <si>
    <t>LP002901</t>
  </si>
  <si>
    <t>LP002907</t>
  </si>
  <si>
    <t>LP002920</t>
  </si>
  <si>
    <t>LP002921</t>
  </si>
  <si>
    <t>LP002932</t>
  </si>
  <si>
    <t>LP002935</t>
  </si>
  <si>
    <t>LP002952</t>
  </si>
  <si>
    <t>LP002954</t>
  </si>
  <si>
    <t>LP002962</t>
  </si>
  <si>
    <t>LP002965</t>
  </si>
  <si>
    <t>LP002969</t>
  </si>
  <si>
    <t>LP002971</t>
  </si>
  <si>
    <t>LP002975</t>
  </si>
  <si>
    <t>LP002980</t>
  </si>
  <si>
    <t>LP002986</t>
  </si>
  <si>
    <t>LP002989</t>
  </si>
  <si>
    <t>Count of Loan_ID</t>
  </si>
  <si>
    <t>Row Labels</t>
  </si>
  <si>
    <t>Approval rate</t>
  </si>
  <si>
    <t>Count of Loan_Status_Predicted</t>
  </si>
  <si>
    <t>Loan Applications</t>
  </si>
  <si>
    <t>Average of ApplicantIncome</t>
  </si>
  <si>
    <t>Average Income</t>
  </si>
  <si>
    <t>Average of Loan_Income_Ratio</t>
  </si>
  <si>
    <t>Sum of LoanAmount</t>
  </si>
  <si>
    <t>Average of LoanAmount</t>
  </si>
  <si>
    <t>Average loan amount</t>
  </si>
  <si>
    <t>Sum of Total_Income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</si>
</sst>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00000000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78">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34" formatCode="_ &quot;₹&quot;\ * #,##0.00_ ;_ &quot;₹&quot;\ * \-#,##0.00_ ;_ &quot;₹&quot;\ * &quot;-&quot;??_ ;_ @_ "/>
    </dxf>
    <dxf>
      <numFmt numFmtId="2" formatCode="0.00"/>
    </dxf>
    <dxf>
      <numFmt numFmtId="165" formatCode="0.0000000000"/>
    </dxf>
    <dxf>
      <numFmt numFmtId="165" formatCode="0.0000000000"/>
    </dxf>
    <dxf>
      <numFmt numFmtId="2" formatCode="0.00"/>
    </dxf>
    <dxf>
      <numFmt numFmtId="34" formatCode="_ &quot;₹&quot;\ * #,##0.00_ ;_ &quot;₹&quot;\ * \-#,##0.00_ ;_ &quot;₹&quot;\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[loan_predictions_analysis.xlsx]Loan Approval!PivotTable1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3">
                    <a:lumMod val="50000"/>
                  </a:schemeClr>
                </a:solidFill>
              </a:rPr>
              <a:t>Loan Approval Prediction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75000"/>
              <a:alpha val="96000"/>
            </a:schemeClr>
          </a:solidFill>
          <a:ln>
            <a:noFill/>
          </a:ln>
          <a:effectLst>
            <a:outerShdw blurRad="254000" sx="102000" sy="102000" algn="ctr" rotWithShape="0">
              <a:prstClr val="black">
                <a:alpha val="20000"/>
              </a:prstClr>
            </a:outerShdw>
          </a:effectLst>
          <a:sp3d/>
        </c:spPr>
      </c:pivotFmt>
      <c:pivotFmt>
        <c:idx val="2"/>
        <c:spPr>
          <a:solidFill>
            <a:schemeClr val="accent3">
              <a:lumMod val="7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'Loan Approval'!$B$3</c:f>
              <c:strCache>
                <c:ptCount val="1"/>
                <c:pt idx="0">
                  <c:v>Total</c:v>
                </c:pt>
              </c:strCache>
            </c:strRef>
          </c:tx>
          <c:spPr>
            <a:solidFill>
              <a:schemeClr val="accent4">
                <a:lumMod val="75000"/>
              </a:schemeClr>
            </a:solidFill>
          </c:spPr>
          <c:dPt>
            <c:idx val="0"/>
            <c:bubble3D val="0"/>
            <c:spPr>
              <a:solidFill>
                <a:schemeClr val="accent4">
                  <a:lumMod val="75000"/>
                  <a:alpha val="9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75F3-41E6-BE32-74B8DC8A8356}"/>
              </c:ext>
            </c:extLst>
          </c:dPt>
          <c:dPt>
            <c:idx val="1"/>
            <c:bubble3D val="0"/>
            <c:spPr>
              <a:solidFill>
                <a:schemeClr val="accent3">
                  <a:lumMod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5F3-41E6-BE32-74B8DC8A83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'Loan Approval'!$A$4:$A$5</c:f>
              <c:strCache>
                <c:ptCount val="2"/>
                <c:pt idx="0">
                  <c:v>Approved</c:v>
                </c:pt>
                <c:pt idx="1">
                  <c:v>Rejected</c:v>
                </c:pt>
              </c:strCache>
            </c:strRef>
          </c:cat>
          <c:val>
            <c:numRef>
              <c:f>'Loan Approval'!$B$4:$B$5</c:f>
              <c:numCache>
                <c:formatCode>General</c:formatCode>
                <c:ptCount val="2"/>
                <c:pt idx="0">
                  <c:v>307</c:v>
                </c:pt>
                <c:pt idx="1">
                  <c:v>60</c:v>
                </c:pt>
              </c:numCache>
            </c:numRef>
          </c:val>
          <c:extLst>
            <c:ext xmlns:c16="http://schemas.microsoft.com/office/drawing/2014/chart" uri="{C3380CC4-5D6E-409C-BE32-E72D297353CC}">
              <c16:uniqueId val="{00000000-75F3-41E6-BE32-74B8DC8A835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[loan_predictions_analysis.xlsx]Areawise Loan Approval!PivotTable2</c:name>
    <c:fmtId val="2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3">
                    <a:lumMod val="50000"/>
                  </a:schemeClr>
                </a:solidFill>
              </a:rPr>
              <a:t>Area Approval Rate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888888888888884E-2"/>
          <c:y val="0.14856481481481484"/>
          <c:w val="0.82664807524059492"/>
          <c:h val="0.6435808544765238"/>
        </c:manualLayout>
      </c:layout>
      <c:bar3DChart>
        <c:barDir val="col"/>
        <c:grouping val="clustered"/>
        <c:varyColors val="0"/>
        <c:ser>
          <c:idx val="0"/>
          <c:order val="0"/>
          <c:tx>
            <c:strRef>
              <c:f>'Areawise Loan Approval'!$B$3</c:f>
              <c:strCache>
                <c:ptCount val="1"/>
                <c:pt idx="0">
                  <c:v>Total</c:v>
                </c:pt>
              </c:strCache>
            </c:strRef>
          </c:tx>
          <c:spPr>
            <a:solidFill>
              <a:schemeClr val="accent4">
                <a:lumMod val="50000"/>
              </a:schemeClr>
            </a:solidFill>
            <a:ln>
              <a:noFill/>
            </a:ln>
            <a:effectLst/>
            <a:sp3d/>
          </c:spPr>
          <c:invertIfNegative val="0"/>
          <c:cat>
            <c:multiLvlStrRef>
              <c:f>'Areawise Loan Approval'!$A$4:$A$12</c:f>
              <c:multiLvlStrCache>
                <c:ptCount val="6"/>
                <c:lvl>
                  <c:pt idx="0">
                    <c:v>Approved</c:v>
                  </c:pt>
                  <c:pt idx="1">
                    <c:v>Rejected</c:v>
                  </c:pt>
                  <c:pt idx="2">
                    <c:v>Approved</c:v>
                  </c:pt>
                  <c:pt idx="3">
                    <c:v>Rejected</c:v>
                  </c:pt>
                  <c:pt idx="4">
                    <c:v>Approved</c:v>
                  </c:pt>
                  <c:pt idx="5">
                    <c:v>Rejected</c:v>
                  </c:pt>
                </c:lvl>
                <c:lvl>
                  <c:pt idx="0">
                    <c:v>Rural</c:v>
                  </c:pt>
                  <c:pt idx="2">
                    <c:v>Semiurban</c:v>
                  </c:pt>
                  <c:pt idx="4">
                    <c:v>Urban</c:v>
                  </c:pt>
                </c:lvl>
              </c:multiLvlStrCache>
            </c:multiLvlStrRef>
          </c:cat>
          <c:val>
            <c:numRef>
              <c:f>'Areawise Loan Approval'!$B$4:$B$12</c:f>
              <c:numCache>
                <c:formatCode>General</c:formatCode>
                <c:ptCount val="6"/>
                <c:pt idx="0">
                  <c:v>91</c:v>
                </c:pt>
                <c:pt idx="1">
                  <c:v>20</c:v>
                </c:pt>
                <c:pt idx="2">
                  <c:v>94</c:v>
                </c:pt>
                <c:pt idx="3">
                  <c:v>22</c:v>
                </c:pt>
                <c:pt idx="4">
                  <c:v>122</c:v>
                </c:pt>
                <c:pt idx="5">
                  <c:v>18</c:v>
                </c:pt>
              </c:numCache>
            </c:numRef>
          </c:val>
          <c:extLst>
            <c:ext xmlns:c16="http://schemas.microsoft.com/office/drawing/2014/chart" uri="{C3380CC4-5D6E-409C-BE32-E72D297353CC}">
              <c16:uniqueId val="{00000000-EBA7-49CD-92EC-57ADD96845B0}"/>
            </c:ext>
          </c:extLst>
        </c:ser>
        <c:dLbls>
          <c:showLegendKey val="0"/>
          <c:showVal val="0"/>
          <c:showCatName val="0"/>
          <c:showSerName val="0"/>
          <c:showPercent val="0"/>
          <c:showBubbleSize val="0"/>
        </c:dLbls>
        <c:gapWidth val="150"/>
        <c:shape val="box"/>
        <c:axId val="1435989472"/>
        <c:axId val="1435990912"/>
        <c:axId val="0"/>
      </c:bar3DChart>
      <c:catAx>
        <c:axId val="1435989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1435990912"/>
        <c:crosses val="autoZero"/>
        <c:auto val="1"/>
        <c:lblAlgn val="ctr"/>
        <c:lblOffset val="100"/>
        <c:noMultiLvlLbl val="0"/>
      </c:catAx>
      <c:valAx>
        <c:axId val="143599091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3598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[loan_predictions_analysis.xlsx]Areawise Loan Approval!PivotTable2</c:name>
    <c:fmtId val="4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3">
                    <a:lumMod val="50000"/>
                  </a:schemeClr>
                </a:solidFill>
              </a:rPr>
              <a:t>Area Approval Rate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'Areawise Loan Approval'!$B$3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B9-4249-A1C0-7FE811D06E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B9-4249-A1C0-7FE811D06E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B9-4249-A1C0-7FE811D06E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B9-4249-A1C0-7FE811D06E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8B9-4249-A1C0-7FE811D06EA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8B9-4249-A1C0-7FE811D06EA7}"/>
              </c:ext>
            </c:extLst>
          </c:dPt>
          <c:cat>
            <c:multiLvlStrRef>
              <c:f>'Areawise Loan Approval'!$A$4:$A$12</c:f>
              <c:multiLvlStrCache>
                <c:ptCount val="6"/>
                <c:lvl>
                  <c:pt idx="0">
                    <c:v>Approved</c:v>
                  </c:pt>
                  <c:pt idx="1">
                    <c:v>Rejected</c:v>
                  </c:pt>
                  <c:pt idx="2">
                    <c:v>Approved</c:v>
                  </c:pt>
                  <c:pt idx="3">
                    <c:v>Rejected</c:v>
                  </c:pt>
                  <c:pt idx="4">
                    <c:v>Approved</c:v>
                  </c:pt>
                  <c:pt idx="5">
                    <c:v>Rejected</c:v>
                  </c:pt>
                </c:lvl>
                <c:lvl>
                  <c:pt idx="0">
                    <c:v>Rural</c:v>
                  </c:pt>
                  <c:pt idx="2">
                    <c:v>Semiurban</c:v>
                  </c:pt>
                  <c:pt idx="4">
                    <c:v>Urban</c:v>
                  </c:pt>
                </c:lvl>
              </c:multiLvlStrCache>
            </c:multiLvlStrRef>
          </c:cat>
          <c:val>
            <c:numRef>
              <c:f>'Areawise Loan Approval'!$B$4:$B$12</c:f>
              <c:numCache>
                <c:formatCode>General</c:formatCode>
                <c:ptCount val="6"/>
                <c:pt idx="0">
                  <c:v>91</c:v>
                </c:pt>
                <c:pt idx="1">
                  <c:v>20</c:v>
                </c:pt>
                <c:pt idx="2">
                  <c:v>94</c:v>
                </c:pt>
                <c:pt idx="3">
                  <c:v>22</c:v>
                </c:pt>
                <c:pt idx="4">
                  <c:v>122</c:v>
                </c:pt>
                <c:pt idx="5">
                  <c:v>18</c:v>
                </c:pt>
              </c:numCache>
            </c:numRef>
          </c:val>
          <c:extLst>
            <c:ext xmlns:c16="http://schemas.microsoft.com/office/drawing/2014/chart" uri="{C3380CC4-5D6E-409C-BE32-E72D297353CC}">
              <c16:uniqueId val="{00000000-3A6B-4675-879B-273A1D4016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[loan_predictions_analysis.xlsx]Gender VS Average Income!PivotTable3</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Gender Wise Income Bracket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VS Average Income'!$B$3</c:f>
              <c:strCache>
                <c:ptCount val="1"/>
                <c:pt idx="0">
                  <c:v>Average of ApplicantIncome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'Gender VS Average Income'!$A$4:$A$5</c:f>
              <c:strCache>
                <c:ptCount val="2"/>
                <c:pt idx="0">
                  <c:v>Female</c:v>
                </c:pt>
                <c:pt idx="1">
                  <c:v>Male</c:v>
                </c:pt>
              </c:strCache>
            </c:strRef>
          </c:cat>
          <c:val>
            <c:numRef>
              <c:f>'Gender VS Average Income'!$B$4:$B$5</c:f>
              <c:numCache>
                <c:formatCode>0.00</c:formatCode>
                <c:ptCount val="2"/>
                <c:pt idx="0">
                  <c:v>4163.6000000000004</c:v>
                </c:pt>
                <c:pt idx="1">
                  <c:v>4956.9124579124582</c:v>
                </c:pt>
              </c:numCache>
            </c:numRef>
          </c:val>
          <c:extLst>
            <c:ext xmlns:c16="http://schemas.microsoft.com/office/drawing/2014/chart" uri="{C3380CC4-5D6E-409C-BE32-E72D297353CC}">
              <c16:uniqueId val="{00000000-C86F-4E71-9F52-BAB049C9CD09}"/>
            </c:ext>
          </c:extLst>
        </c:ser>
        <c:ser>
          <c:idx val="1"/>
          <c:order val="1"/>
          <c:tx>
            <c:strRef>
              <c:f>'Gender VS Average Income'!$C$3</c:f>
              <c:strCache>
                <c:ptCount val="1"/>
                <c:pt idx="0">
                  <c:v>Average of LoanAmount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'Gender VS Average Income'!$A$4:$A$5</c:f>
              <c:strCache>
                <c:ptCount val="2"/>
                <c:pt idx="0">
                  <c:v>Female</c:v>
                </c:pt>
                <c:pt idx="1">
                  <c:v>Male</c:v>
                </c:pt>
              </c:strCache>
            </c:strRef>
          </c:cat>
          <c:val>
            <c:numRef>
              <c:f>'Gender VS Average Income'!$C$4:$C$5</c:f>
              <c:numCache>
                <c:formatCode>0.0000000000</c:formatCode>
                <c:ptCount val="2"/>
                <c:pt idx="0">
                  <c:v>126.77142857142857</c:v>
                </c:pt>
                <c:pt idx="1">
                  <c:v>138.15151515151516</c:v>
                </c:pt>
              </c:numCache>
            </c:numRef>
          </c:val>
          <c:extLst>
            <c:ext xmlns:c16="http://schemas.microsoft.com/office/drawing/2014/chart" uri="{C3380CC4-5D6E-409C-BE32-E72D297353CC}">
              <c16:uniqueId val="{00000002-C86F-4E71-9F52-BAB049C9CD09}"/>
            </c:ext>
          </c:extLst>
        </c:ser>
        <c:ser>
          <c:idx val="2"/>
          <c:order val="2"/>
          <c:tx>
            <c:strRef>
              <c:f>'Gender VS Average Income'!$D$3</c:f>
              <c:strCache>
                <c:ptCount val="1"/>
                <c:pt idx="0">
                  <c:v>Average of Loan_Income_Ratio</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'Gender VS Average Income'!$A$4:$A$5</c:f>
              <c:strCache>
                <c:ptCount val="2"/>
                <c:pt idx="0">
                  <c:v>Female</c:v>
                </c:pt>
                <c:pt idx="1">
                  <c:v>Male</c:v>
                </c:pt>
              </c:strCache>
            </c:strRef>
          </c:cat>
          <c:val>
            <c:numRef>
              <c:f>'Gender VS Average Income'!$D$4:$D$5</c:f>
              <c:numCache>
                <c:formatCode>0.00</c:formatCode>
                <c:ptCount val="2"/>
                <c:pt idx="0">
                  <c:v>2.6708858462412523E-2</c:v>
                </c:pt>
                <c:pt idx="1">
                  <c:v>2.3867264483471269E-2</c:v>
                </c:pt>
              </c:numCache>
            </c:numRef>
          </c:val>
          <c:extLst>
            <c:ext xmlns:c16="http://schemas.microsoft.com/office/drawing/2014/chart" uri="{C3380CC4-5D6E-409C-BE32-E72D297353CC}">
              <c16:uniqueId val="{00000003-C86F-4E71-9F52-BAB049C9CD09}"/>
            </c:ext>
          </c:extLst>
        </c:ser>
        <c:dLbls>
          <c:dLblPos val="inEnd"/>
          <c:showLegendKey val="0"/>
          <c:showVal val="1"/>
          <c:showCatName val="0"/>
          <c:showSerName val="0"/>
          <c:showPercent val="0"/>
          <c:showBubbleSize val="0"/>
        </c:dLbls>
        <c:gapWidth val="182"/>
        <c:overlap val="-50"/>
        <c:axId val="1436050912"/>
        <c:axId val="1436054752"/>
      </c:barChart>
      <c:catAx>
        <c:axId val="143605091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36054752"/>
        <c:crosses val="autoZero"/>
        <c:auto val="1"/>
        <c:lblAlgn val="ctr"/>
        <c:lblOffset val="100"/>
        <c:noMultiLvlLbl val="0"/>
      </c:catAx>
      <c:valAx>
        <c:axId val="1436054752"/>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143605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[loan_predictions_analysis.xlsx]Education Vs Loan status!PivotTable4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Education Approval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'Education Vs Loan status'!$B$3</c:f>
              <c:strCache>
                <c:ptCount val="1"/>
                <c:pt idx="0">
                  <c:v>Total</c:v>
                </c:pt>
              </c:strCache>
            </c:strRef>
          </c:tx>
          <c:spPr>
            <a:solidFill>
              <a:schemeClr val="accent4">
                <a:lumMod val="50000"/>
              </a:schemeClr>
            </a:solidFill>
            <a:ln>
              <a:noFill/>
            </a:ln>
            <a:effectLst/>
          </c:spPr>
          <c:cat>
            <c:multiLvlStrRef>
              <c:f>'Education Vs Loan status'!$A$4:$A$9</c:f>
              <c:multiLvlStrCache>
                <c:ptCount val="4"/>
                <c:lvl>
                  <c:pt idx="0">
                    <c:v>Approved</c:v>
                  </c:pt>
                  <c:pt idx="1">
                    <c:v>Rejected</c:v>
                  </c:pt>
                  <c:pt idx="2">
                    <c:v>Approved</c:v>
                  </c:pt>
                  <c:pt idx="3">
                    <c:v>Rejected</c:v>
                  </c:pt>
                </c:lvl>
                <c:lvl>
                  <c:pt idx="0">
                    <c:v>Graduate</c:v>
                  </c:pt>
                  <c:pt idx="2">
                    <c:v>Not Graduate</c:v>
                  </c:pt>
                </c:lvl>
              </c:multiLvlStrCache>
            </c:multiLvlStrRef>
          </c:cat>
          <c:val>
            <c:numRef>
              <c:f>'Education Vs Loan status'!$B$4:$B$9</c:f>
              <c:numCache>
                <c:formatCode>General</c:formatCode>
                <c:ptCount val="4"/>
                <c:pt idx="0">
                  <c:v>239</c:v>
                </c:pt>
                <c:pt idx="1">
                  <c:v>44</c:v>
                </c:pt>
                <c:pt idx="2">
                  <c:v>68</c:v>
                </c:pt>
                <c:pt idx="3">
                  <c:v>16</c:v>
                </c:pt>
              </c:numCache>
            </c:numRef>
          </c:val>
          <c:extLst>
            <c:ext xmlns:c16="http://schemas.microsoft.com/office/drawing/2014/chart" uri="{C3380CC4-5D6E-409C-BE32-E72D297353CC}">
              <c16:uniqueId val="{00000000-5ED6-482C-A05D-1D4632F3F71B}"/>
            </c:ext>
          </c:extLst>
        </c:ser>
        <c:dLbls>
          <c:showLegendKey val="0"/>
          <c:showVal val="0"/>
          <c:showCatName val="0"/>
          <c:showSerName val="0"/>
          <c:showPercent val="0"/>
          <c:showBubbleSize val="0"/>
        </c:dLbls>
        <c:axId val="1436058592"/>
        <c:axId val="1436068192"/>
      </c:areaChart>
      <c:catAx>
        <c:axId val="1436058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1436068192"/>
        <c:crosses val="autoZero"/>
        <c:auto val="1"/>
        <c:lblAlgn val="ctr"/>
        <c:lblOffset val="100"/>
        <c:noMultiLvlLbl val="0"/>
      </c:catAx>
      <c:valAx>
        <c:axId val="143606819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36058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[loan_predictions_analysis.xlsx]Loan Approval!PivotTable1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solidFill>
                  <a:schemeClr val="accent3">
                    <a:lumMod val="50000"/>
                  </a:schemeClr>
                </a:solidFill>
              </a:rPr>
              <a:t>LOAN APPROVAL PREDICTION</a:t>
            </a:r>
          </a:p>
        </c:rich>
      </c:tx>
      <c:overlay val="0"/>
      <c:spPr>
        <a:solidFill>
          <a:schemeClr val="bg1">
            <a:lumMod val="95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75000"/>
              <a:alpha val="96000"/>
            </a:schemeClr>
          </a:solidFill>
          <a:ln>
            <a:noFill/>
          </a:ln>
          <a:effectLst>
            <a:outerShdw blurRad="254000" sx="102000" sy="102000" algn="ctr" rotWithShape="0">
              <a:prstClr val="black">
                <a:alpha val="20000"/>
              </a:prstClr>
            </a:outerShdw>
          </a:effectLst>
          <a:sp3d/>
        </c:spPr>
      </c:pivotFmt>
      <c:pivotFmt>
        <c:idx val="2"/>
        <c:spPr>
          <a:solidFill>
            <a:schemeClr val="accent3">
              <a:lumMod val="75000"/>
            </a:schemeClr>
          </a:solidFill>
          <a:ln>
            <a:noFill/>
          </a:ln>
          <a:effectLst>
            <a:outerShdw blurRad="254000" sx="102000" sy="102000" algn="ctr" rotWithShape="0">
              <a:prstClr val="black">
                <a:alpha val="20000"/>
              </a:prstClr>
            </a:outerShdw>
          </a:effectLst>
          <a:sp3d/>
        </c:spPr>
      </c:pivotFmt>
      <c:pivotFmt>
        <c:idx val="3"/>
        <c:spPr>
          <a:solidFill>
            <a:schemeClr val="accent4">
              <a:lumMod val="75000"/>
            </a:schemeClr>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lumMod val="75000"/>
              <a:alpha val="96000"/>
            </a:schemeClr>
          </a:solidFill>
          <a:ln>
            <a:noFill/>
          </a:ln>
          <a:effectLst>
            <a:outerShdw blurRad="254000" sx="102000" sy="102000" algn="ctr" rotWithShape="0">
              <a:prstClr val="black">
                <a:alpha val="20000"/>
              </a:prstClr>
            </a:outerShdw>
          </a:effectLst>
          <a:sp3d/>
        </c:spPr>
      </c:pivotFmt>
      <c:pivotFmt>
        <c:idx val="5"/>
        <c:spPr>
          <a:solidFill>
            <a:schemeClr val="accent3">
              <a:lumMod val="75000"/>
            </a:schemeClr>
          </a:solidFill>
          <a:ln>
            <a:noFill/>
          </a:ln>
          <a:effectLst>
            <a:outerShdw blurRad="254000" sx="102000" sy="102000" algn="ctr" rotWithShape="0">
              <a:prstClr val="black">
                <a:alpha val="20000"/>
              </a:prstClr>
            </a:outerShdw>
          </a:effectLst>
          <a:sp3d/>
        </c:spPr>
      </c:pivotFmt>
      <c:pivotFmt>
        <c:idx val="6"/>
        <c:spPr>
          <a:solidFill>
            <a:schemeClr val="accent4">
              <a:lumMod val="75000"/>
            </a:schemeClr>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lumMod val="75000"/>
              <a:alpha val="96000"/>
            </a:schemeClr>
          </a:solidFill>
          <a:ln>
            <a:noFill/>
          </a:ln>
          <a:effectLst>
            <a:outerShdw blurRad="254000" sx="102000" sy="102000" algn="ctr" rotWithShape="0">
              <a:prstClr val="black">
                <a:alpha val="20000"/>
              </a:prstClr>
            </a:outerShdw>
          </a:effectLst>
          <a:sp3d/>
        </c:spPr>
      </c:pivotFmt>
      <c:pivotFmt>
        <c:idx val="8"/>
        <c:spPr>
          <a:solidFill>
            <a:schemeClr val="accent3">
              <a:lumMod val="7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'Loan Approval'!$B$3</c:f>
              <c:strCache>
                <c:ptCount val="1"/>
                <c:pt idx="0">
                  <c:v>Total</c:v>
                </c:pt>
              </c:strCache>
            </c:strRef>
          </c:tx>
          <c:spPr>
            <a:solidFill>
              <a:schemeClr val="accent4">
                <a:lumMod val="75000"/>
              </a:schemeClr>
            </a:solidFill>
          </c:spPr>
          <c:dPt>
            <c:idx val="0"/>
            <c:bubble3D val="0"/>
            <c:spPr>
              <a:solidFill>
                <a:schemeClr val="accent4">
                  <a:lumMod val="75000"/>
                  <a:alpha val="9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860-44C8-A2CB-7FB71B81B550}"/>
              </c:ext>
            </c:extLst>
          </c:dPt>
          <c:dPt>
            <c:idx val="1"/>
            <c:bubble3D val="0"/>
            <c:spPr>
              <a:solidFill>
                <a:schemeClr val="accent3">
                  <a:lumMod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860-44C8-A2CB-7FB71B81B55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'Loan Approval'!$A$4:$A$5</c:f>
              <c:strCache>
                <c:ptCount val="2"/>
                <c:pt idx="0">
                  <c:v>Approved</c:v>
                </c:pt>
                <c:pt idx="1">
                  <c:v>Rejected</c:v>
                </c:pt>
              </c:strCache>
            </c:strRef>
          </c:cat>
          <c:val>
            <c:numRef>
              <c:f>'Loan Approval'!$B$4:$B$5</c:f>
              <c:numCache>
                <c:formatCode>General</c:formatCode>
                <c:ptCount val="2"/>
                <c:pt idx="0">
                  <c:v>307</c:v>
                </c:pt>
                <c:pt idx="1">
                  <c:v>60</c:v>
                </c:pt>
              </c:numCache>
            </c:numRef>
          </c:val>
          <c:extLst>
            <c:ext xmlns:c16="http://schemas.microsoft.com/office/drawing/2014/chart" uri="{C3380CC4-5D6E-409C-BE32-E72D297353CC}">
              <c16:uniqueId val="{00000004-4860-44C8-A2CB-7FB71B81B55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[loan_predictions_analysis.xlsx]Areawise Loan Approval!PivotTable2</c:name>
    <c:fmtId val="4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AREA APPROVAL RATE</a:t>
            </a:r>
          </a:p>
        </c:rich>
      </c:tx>
      <c:layout>
        <c:manualLayout>
          <c:xMode val="edge"/>
          <c:yMode val="edge"/>
          <c:x val="0.27436175254110878"/>
          <c:y val="3.559122774322190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5"/>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6">
              <a:lumMod val="60000"/>
            </a:schemeClr>
          </a:solidFill>
          <a:ln>
            <a:noFill/>
          </a:ln>
          <a:effectLst>
            <a:outerShdw blurRad="254000" sx="102000" sy="102000" algn="ctr" rotWithShape="0">
              <a:prstClr val="black">
                <a:alpha val="20000"/>
              </a:prstClr>
            </a:outerShdw>
          </a:effectLst>
        </c:spPr>
      </c:pivotFmt>
      <c:pivotFmt>
        <c:idx val="13"/>
        <c:spPr>
          <a:solidFill>
            <a:schemeClr val="accent5">
              <a:lumMod val="60000"/>
            </a:schemeClr>
          </a:solidFill>
          <a:ln>
            <a:noFill/>
          </a:ln>
          <a:effectLst>
            <a:outerShdw blurRad="254000" sx="102000" sy="102000" algn="ctr" rotWithShape="0">
              <a:prstClr val="black">
                <a:alpha val="20000"/>
              </a:prstClr>
            </a:outerShdw>
          </a:effectLst>
        </c:spPr>
      </c:pivotFmt>
      <c:pivotFmt>
        <c:idx val="14"/>
        <c:spPr>
          <a:solidFill>
            <a:schemeClr val="accent4">
              <a:lumMod val="60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'Areawise Loan Approval'!$B$3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064-4F5A-9AF2-420C1095DD1D}"/>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64-4F5A-9AF2-420C1095DD1D}"/>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064-4F5A-9AF2-420C1095DD1D}"/>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064-4F5A-9AF2-420C1095DD1D}"/>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064-4F5A-9AF2-420C1095DD1D}"/>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064-4F5A-9AF2-420C1095DD1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'Areawise Loan Approval'!$A$4:$A$12</c:f>
              <c:multiLvlStrCache>
                <c:ptCount val="6"/>
                <c:lvl>
                  <c:pt idx="0">
                    <c:v>Approved</c:v>
                  </c:pt>
                  <c:pt idx="1">
                    <c:v>Rejected</c:v>
                  </c:pt>
                  <c:pt idx="2">
                    <c:v>Approved</c:v>
                  </c:pt>
                  <c:pt idx="3">
                    <c:v>Rejected</c:v>
                  </c:pt>
                  <c:pt idx="4">
                    <c:v>Approved</c:v>
                  </c:pt>
                  <c:pt idx="5">
                    <c:v>Rejected</c:v>
                  </c:pt>
                </c:lvl>
                <c:lvl>
                  <c:pt idx="0">
                    <c:v>Rural</c:v>
                  </c:pt>
                  <c:pt idx="2">
                    <c:v>Semiurban</c:v>
                  </c:pt>
                  <c:pt idx="4">
                    <c:v>Urban</c:v>
                  </c:pt>
                </c:lvl>
              </c:multiLvlStrCache>
            </c:multiLvlStrRef>
          </c:cat>
          <c:val>
            <c:numRef>
              <c:f>'Areawise Loan Approval'!$B$4:$B$12</c:f>
              <c:numCache>
                <c:formatCode>General</c:formatCode>
                <c:ptCount val="6"/>
                <c:pt idx="0">
                  <c:v>91</c:v>
                </c:pt>
                <c:pt idx="1">
                  <c:v>20</c:v>
                </c:pt>
                <c:pt idx="2">
                  <c:v>94</c:v>
                </c:pt>
                <c:pt idx="3">
                  <c:v>22</c:v>
                </c:pt>
                <c:pt idx="4">
                  <c:v>122</c:v>
                </c:pt>
                <c:pt idx="5">
                  <c:v>18</c:v>
                </c:pt>
              </c:numCache>
            </c:numRef>
          </c:val>
          <c:extLst>
            <c:ext xmlns:c16="http://schemas.microsoft.com/office/drawing/2014/chart" uri="{C3380CC4-5D6E-409C-BE32-E72D297353CC}">
              <c16:uniqueId val="{0000000C-B064-4F5A-9AF2-420C1095DD1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[loan_predictions_analysis.xlsx]Gender VS Average Income!PivotTable3</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t>GENDER WISE INCOME BRACKET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5816931554035"/>
          <c:y val="0.18813618236304847"/>
          <c:w val="0.82585560519182666"/>
          <c:h val="0.67724873526516749"/>
        </c:manualLayout>
      </c:layout>
      <c:barChart>
        <c:barDir val="bar"/>
        <c:grouping val="clustered"/>
        <c:varyColors val="0"/>
        <c:ser>
          <c:idx val="0"/>
          <c:order val="0"/>
          <c:tx>
            <c:strRef>
              <c:f>'Gender VS Average Income'!$B$3</c:f>
              <c:strCache>
                <c:ptCount val="1"/>
                <c:pt idx="0">
                  <c:v>Average of ApplicantIncome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'Gender VS Average Income'!$A$4:$A$5</c:f>
              <c:strCache>
                <c:ptCount val="2"/>
                <c:pt idx="0">
                  <c:v>Female</c:v>
                </c:pt>
                <c:pt idx="1">
                  <c:v>Male</c:v>
                </c:pt>
              </c:strCache>
            </c:strRef>
          </c:cat>
          <c:val>
            <c:numRef>
              <c:f>'Gender VS Average Income'!$B$4:$B$5</c:f>
              <c:numCache>
                <c:formatCode>0.00</c:formatCode>
                <c:ptCount val="2"/>
                <c:pt idx="0">
                  <c:v>4163.6000000000004</c:v>
                </c:pt>
                <c:pt idx="1">
                  <c:v>4956.9124579124582</c:v>
                </c:pt>
              </c:numCache>
            </c:numRef>
          </c:val>
          <c:extLst>
            <c:ext xmlns:c16="http://schemas.microsoft.com/office/drawing/2014/chart" uri="{C3380CC4-5D6E-409C-BE32-E72D297353CC}">
              <c16:uniqueId val="{00000000-7AD1-4BE8-86B0-07E22B3CBAFB}"/>
            </c:ext>
          </c:extLst>
        </c:ser>
        <c:ser>
          <c:idx val="1"/>
          <c:order val="1"/>
          <c:tx>
            <c:strRef>
              <c:f>'Gender VS Average Income'!$C$3</c:f>
              <c:strCache>
                <c:ptCount val="1"/>
                <c:pt idx="0">
                  <c:v>Average of LoanAmount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'Gender VS Average Income'!$A$4:$A$5</c:f>
              <c:strCache>
                <c:ptCount val="2"/>
                <c:pt idx="0">
                  <c:v>Female</c:v>
                </c:pt>
                <c:pt idx="1">
                  <c:v>Male</c:v>
                </c:pt>
              </c:strCache>
            </c:strRef>
          </c:cat>
          <c:val>
            <c:numRef>
              <c:f>'Gender VS Average Income'!$C$4:$C$5</c:f>
              <c:numCache>
                <c:formatCode>0.0000000000</c:formatCode>
                <c:ptCount val="2"/>
                <c:pt idx="0">
                  <c:v>126.77142857142857</c:v>
                </c:pt>
                <c:pt idx="1">
                  <c:v>138.15151515151516</c:v>
                </c:pt>
              </c:numCache>
            </c:numRef>
          </c:val>
          <c:extLst>
            <c:ext xmlns:c16="http://schemas.microsoft.com/office/drawing/2014/chart" uri="{C3380CC4-5D6E-409C-BE32-E72D297353CC}">
              <c16:uniqueId val="{00000001-7AD1-4BE8-86B0-07E22B3CBAFB}"/>
            </c:ext>
          </c:extLst>
        </c:ser>
        <c:ser>
          <c:idx val="2"/>
          <c:order val="2"/>
          <c:tx>
            <c:strRef>
              <c:f>'Gender VS Average Income'!$D$3</c:f>
              <c:strCache>
                <c:ptCount val="1"/>
                <c:pt idx="0">
                  <c:v>Average of Loan_Income_Ratio</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'Gender VS Average Income'!$A$4:$A$5</c:f>
              <c:strCache>
                <c:ptCount val="2"/>
                <c:pt idx="0">
                  <c:v>Female</c:v>
                </c:pt>
                <c:pt idx="1">
                  <c:v>Male</c:v>
                </c:pt>
              </c:strCache>
            </c:strRef>
          </c:cat>
          <c:val>
            <c:numRef>
              <c:f>'Gender VS Average Income'!$D$4:$D$5</c:f>
              <c:numCache>
                <c:formatCode>0.00</c:formatCode>
                <c:ptCount val="2"/>
                <c:pt idx="0">
                  <c:v>2.6708858462412523E-2</c:v>
                </c:pt>
                <c:pt idx="1">
                  <c:v>2.3867264483471269E-2</c:v>
                </c:pt>
              </c:numCache>
            </c:numRef>
          </c:val>
          <c:extLst>
            <c:ext xmlns:c16="http://schemas.microsoft.com/office/drawing/2014/chart" uri="{C3380CC4-5D6E-409C-BE32-E72D297353CC}">
              <c16:uniqueId val="{00000002-7AD1-4BE8-86B0-07E22B3CBAFB}"/>
            </c:ext>
          </c:extLst>
        </c:ser>
        <c:dLbls>
          <c:dLblPos val="inEnd"/>
          <c:showLegendKey val="0"/>
          <c:showVal val="1"/>
          <c:showCatName val="0"/>
          <c:showSerName val="0"/>
          <c:showPercent val="0"/>
          <c:showBubbleSize val="0"/>
        </c:dLbls>
        <c:gapWidth val="182"/>
        <c:overlap val="-50"/>
        <c:axId val="1436050912"/>
        <c:axId val="1436054752"/>
      </c:barChart>
      <c:catAx>
        <c:axId val="143605091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436054752"/>
        <c:crosses val="autoZero"/>
        <c:auto val="1"/>
        <c:lblAlgn val="ctr"/>
        <c:lblOffset val="100"/>
        <c:noMultiLvlLbl val="0"/>
      </c:catAx>
      <c:valAx>
        <c:axId val="1436054752"/>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143605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[loan_predictions_analysis.xlsx]Education Vs Loan status!PivotTable4</c:name>
    <c:fmtId val="12"/>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Education Approval Rate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circle"/>
          <c:size val="5"/>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'Education Vs Loan status'!$B$3</c:f>
              <c:strCache>
                <c:ptCount val="1"/>
                <c:pt idx="0">
                  <c:v>Total</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'Education Vs Loan status'!$A$4:$A$9</c:f>
              <c:multiLvlStrCache>
                <c:ptCount val="4"/>
                <c:lvl>
                  <c:pt idx="0">
                    <c:v>Approved</c:v>
                  </c:pt>
                  <c:pt idx="1">
                    <c:v>Rejected</c:v>
                  </c:pt>
                  <c:pt idx="2">
                    <c:v>Approved</c:v>
                  </c:pt>
                  <c:pt idx="3">
                    <c:v>Rejected</c:v>
                  </c:pt>
                </c:lvl>
                <c:lvl>
                  <c:pt idx="0">
                    <c:v>Graduate</c:v>
                  </c:pt>
                  <c:pt idx="2">
                    <c:v>Not Graduate</c:v>
                  </c:pt>
                </c:lvl>
              </c:multiLvlStrCache>
            </c:multiLvlStrRef>
          </c:cat>
          <c:val>
            <c:numRef>
              <c:f>'Education Vs Loan status'!$B$4:$B$9</c:f>
              <c:numCache>
                <c:formatCode>General</c:formatCode>
                <c:ptCount val="4"/>
                <c:pt idx="0">
                  <c:v>239</c:v>
                </c:pt>
                <c:pt idx="1">
                  <c:v>44</c:v>
                </c:pt>
                <c:pt idx="2">
                  <c:v>68</c:v>
                </c:pt>
                <c:pt idx="3">
                  <c:v>16</c:v>
                </c:pt>
              </c:numCache>
            </c:numRef>
          </c:val>
          <c:extLst>
            <c:ext xmlns:c16="http://schemas.microsoft.com/office/drawing/2014/chart" uri="{C3380CC4-5D6E-409C-BE32-E72D297353CC}">
              <c16:uniqueId val="{00000000-581A-4BF3-BD12-5D3B5EAB2E59}"/>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436058592"/>
        <c:axId val="1436068192"/>
      </c:areaChart>
      <c:catAx>
        <c:axId val="143605859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36068192"/>
        <c:crosses val="autoZero"/>
        <c:auto val="1"/>
        <c:lblAlgn val="ctr"/>
        <c:lblOffset val="100"/>
        <c:noMultiLvlLbl val="0"/>
      </c:catAx>
      <c:valAx>
        <c:axId val="1436068192"/>
        <c:scaling>
          <c:orientation val="minMax"/>
        </c:scaling>
        <c:delete val="1"/>
        <c:axPos val="l"/>
        <c:majorGridlines>
          <c:spPr>
            <a:ln w="9525" cap="flat" cmpd="sng" algn="ctr">
              <a:noFill/>
              <a:prstDash val="sysDot"/>
              <a:round/>
            </a:ln>
            <a:effectLst/>
          </c:spPr>
        </c:majorGridlines>
        <c:numFmt formatCode="General" sourceLinked="1"/>
        <c:majorTickMark val="out"/>
        <c:minorTickMark val="none"/>
        <c:tickLblPos val="nextTo"/>
        <c:crossAx val="1436058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577850</xdr:colOff>
      <xdr:row>2</xdr:row>
      <xdr:rowOff>50800</xdr:rowOff>
    </xdr:from>
    <xdr:to>
      <xdr:col>10</xdr:col>
      <xdr:colOff>273050</xdr:colOff>
      <xdr:row>17</xdr:row>
      <xdr:rowOff>31750</xdr:rowOff>
    </xdr:to>
    <xdr:graphicFrame macro="">
      <xdr:nvGraphicFramePr>
        <xdr:cNvPr id="2" name="Chart 1">
          <a:extLst>
            <a:ext uri="{FF2B5EF4-FFF2-40B4-BE49-F238E27FC236}">
              <a16:creationId xmlns:a16="http://schemas.microsoft.com/office/drawing/2014/main" id="{B6CB7C74-34B9-3F57-B762-454AB8B12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387350</xdr:colOff>
      <xdr:row>1</xdr:row>
      <xdr:rowOff>165100</xdr:rowOff>
    </xdr:from>
    <xdr:to>
      <xdr:col>7</xdr:col>
      <xdr:colOff>127000</xdr:colOff>
      <xdr:row>16</xdr:row>
      <xdr:rowOff>146050</xdr:rowOff>
    </xdr:to>
    <xdr:graphicFrame macro="">
      <xdr:nvGraphicFramePr>
        <xdr:cNvPr id="4" name="Chart 3">
          <a:extLst>
            <a:ext uri="{FF2B5EF4-FFF2-40B4-BE49-F238E27FC236}">
              <a16:creationId xmlns:a16="http://schemas.microsoft.com/office/drawing/2014/main" id="{6B0F8DAB-A0CD-112C-7416-C731B4585C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1111250</xdr:colOff>
      <xdr:row>17</xdr:row>
      <xdr:rowOff>50801</xdr:rowOff>
    </xdr:from>
    <xdr:to>
      <xdr:col>5</xdr:col>
      <xdr:colOff>50800</xdr:colOff>
      <xdr:row>22</xdr:row>
      <xdr:rowOff>88901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AEA421DF-F293-37CE-3DC9-6F61F13E81B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975100" y="3181351"/>
              <a:ext cx="182880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1130300</xdr:colOff>
      <xdr:row>17</xdr:row>
      <xdr:rowOff>76201</xdr:rowOff>
    </xdr:from>
    <xdr:to>
      <xdr:col>2</xdr:col>
      <xdr:colOff>990600</xdr:colOff>
      <xdr:row>23</xdr:row>
      <xdr:rowOff>152401</xdr:rowOff>
    </xdr:to>
    <mc:AlternateContent xmlns:mc="http://schemas.openxmlformats.org/markup-compatibility/2006" xmlns:a14="http://schemas.microsoft.com/office/drawing/2010/main">
      <mc:Choice Requires="a14">
        <xdr:graphicFrame macro="">
          <xdr:nvGraphicFramePr>
            <xdr:cNvPr id="7" name="Property_Area">
              <a:extLst>
                <a:ext uri="{FF2B5EF4-FFF2-40B4-BE49-F238E27FC236}">
                  <a16:creationId xmlns:a16="http://schemas.microsoft.com/office/drawing/2014/main" id="{1E45CE17-8597-492F-FE03-B26F10176EE8}"/>
                </a:ext>
              </a:extLst>
            </xdr:cNvPr>
            <xdr:cNvGraphicFramePr/>
          </xdr:nvGraphicFramePr>
          <xdr:xfrm>
            <a:off x="0" y="0"/>
            <a:ext cx="0" cy="0"/>
          </xdr:xfrm>
          <a:graphic>
            <a:graphicData uri="http://schemas.microsoft.com/office/drawing/2010/slicer">
              <sle:slicer xmlns:sle="http://schemas.microsoft.com/office/drawing/2010/slicer" name="Property_Area"/>
            </a:graphicData>
          </a:graphic>
        </xdr:graphicFrame>
      </mc:Choice>
      <mc:Fallback xmlns="">
        <xdr:sp macro="" textlink="">
          <xdr:nvSpPr>
            <xdr:cNvPr id="0" name=""/>
            <xdr:cNvSpPr>
              <a:spLocks noTextEdit="1"/>
            </xdr:cNvSpPr>
          </xdr:nvSpPr>
          <xdr:spPr>
            <a:xfrm>
              <a:off x="2025650" y="320675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17</xdr:row>
      <xdr:rowOff>31751</xdr:rowOff>
    </xdr:from>
    <xdr:to>
      <xdr:col>1</xdr:col>
      <xdr:colOff>1041400</xdr:colOff>
      <xdr:row>22</xdr:row>
      <xdr:rowOff>76201</xdr:rowOff>
    </xdr:to>
    <mc:AlternateContent xmlns:mc="http://schemas.openxmlformats.org/markup-compatibility/2006" xmlns:a14="http://schemas.microsoft.com/office/drawing/2010/main">
      <mc:Choice Requires="a14">
        <xdr:graphicFrame macro="">
          <xdr:nvGraphicFramePr>
            <xdr:cNvPr id="8" name="Loan_Status_Predicted">
              <a:extLst>
                <a:ext uri="{FF2B5EF4-FFF2-40B4-BE49-F238E27FC236}">
                  <a16:creationId xmlns:a16="http://schemas.microsoft.com/office/drawing/2014/main" id="{909D2B75-84CC-0434-E867-EC1171DF7C54}"/>
                </a:ext>
              </a:extLst>
            </xdr:cNvPr>
            <xdr:cNvGraphicFramePr/>
          </xdr:nvGraphicFramePr>
          <xdr:xfrm>
            <a:off x="0" y="0"/>
            <a:ext cx="0" cy="0"/>
          </xdr:xfrm>
          <a:graphic>
            <a:graphicData uri="http://schemas.microsoft.com/office/drawing/2010/slicer">
              <sle:slicer xmlns:sle="http://schemas.microsoft.com/office/drawing/2010/slicer" name="Loan_Status_Predicted"/>
            </a:graphicData>
          </a:graphic>
        </xdr:graphicFrame>
      </mc:Choice>
      <mc:Fallback xmlns="">
        <xdr:sp macro="" textlink="">
          <xdr:nvSpPr>
            <xdr:cNvPr id="0" name=""/>
            <xdr:cNvSpPr>
              <a:spLocks noTextEdit="1"/>
            </xdr:cNvSpPr>
          </xdr:nvSpPr>
          <xdr:spPr>
            <a:xfrm>
              <a:off x="107950" y="3162301"/>
              <a:ext cx="1828800" cy="96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238125</xdr:colOff>
      <xdr:row>2</xdr:row>
      <xdr:rowOff>12700</xdr:rowOff>
    </xdr:from>
    <xdr:to>
      <xdr:col>13</xdr:col>
      <xdr:colOff>336550</xdr:colOff>
      <xdr:row>16</xdr:row>
      <xdr:rowOff>177800</xdr:rowOff>
    </xdr:to>
    <xdr:graphicFrame macro="">
      <xdr:nvGraphicFramePr>
        <xdr:cNvPr id="9" name="Chart 8">
          <a:extLst>
            <a:ext uri="{FF2B5EF4-FFF2-40B4-BE49-F238E27FC236}">
              <a16:creationId xmlns:a16="http://schemas.microsoft.com/office/drawing/2014/main" id="{56EF74E1-B585-C153-0F47-4D6DBABC0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228600</xdr:colOff>
      <xdr:row>8</xdr:row>
      <xdr:rowOff>139700</xdr:rowOff>
    </xdr:from>
    <xdr:to>
      <xdr:col>3</xdr:col>
      <xdr:colOff>1270000</xdr:colOff>
      <xdr:row>23</xdr:row>
      <xdr:rowOff>120650</xdr:rowOff>
    </xdr:to>
    <xdr:graphicFrame macro="">
      <xdr:nvGraphicFramePr>
        <xdr:cNvPr id="2" name="Chart 1">
          <a:extLst>
            <a:ext uri="{FF2B5EF4-FFF2-40B4-BE49-F238E27FC236}">
              <a16:creationId xmlns:a16="http://schemas.microsoft.com/office/drawing/2014/main" id="{8A14DC0E-F77A-8E7C-7D97-25269D0C1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317500</xdr:colOff>
      <xdr:row>2</xdr:row>
      <xdr:rowOff>0</xdr:rowOff>
    </xdr:from>
    <xdr:to>
      <xdr:col>10</xdr:col>
      <xdr:colOff>12700</xdr:colOff>
      <xdr:row>15</xdr:row>
      <xdr:rowOff>38100</xdr:rowOff>
    </xdr:to>
    <xdr:graphicFrame macro="">
      <xdr:nvGraphicFramePr>
        <xdr:cNvPr id="3" name="Chart 2">
          <a:extLst>
            <a:ext uri="{FF2B5EF4-FFF2-40B4-BE49-F238E27FC236}">
              <a16:creationId xmlns:a16="http://schemas.microsoft.com/office/drawing/2014/main" id="{6757F200-6316-6D8C-F9A1-057B9A24A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83421</xdr:rowOff>
    </xdr:from>
    <xdr:to>
      <xdr:col>19</xdr:col>
      <xdr:colOff>522941</xdr:colOff>
      <xdr:row>39</xdr:row>
      <xdr:rowOff>146921</xdr:rowOff>
    </xdr:to>
    <xdr:sp macro="" textlink="">
      <xdr:nvSpPr>
        <xdr:cNvPr id="3" name="Rectangle 2">
          <a:extLst>
            <a:ext uri="{FF2B5EF4-FFF2-40B4-BE49-F238E27FC236}">
              <a16:creationId xmlns:a16="http://schemas.microsoft.com/office/drawing/2014/main" id="{58F767ED-405A-915F-D5B7-CB7CDCA3C7D2}"/>
            </a:ext>
          </a:extLst>
        </xdr:cNvPr>
        <xdr:cNvSpPr/>
      </xdr:nvSpPr>
      <xdr:spPr>
        <a:xfrm>
          <a:off x="605234" y="83421"/>
          <a:ext cx="11417160" cy="7415609"/>
        </a:xfrm>
        <a:prstGeom prst="rect">
          <a:avLst/>
        </a:prstGeom>
        <a:ln>
          <a:noFill/>
        </a:ln>
      </xdr:spPr>
      <xdr:style>
        <a:lnRef idx="0">
          <a:scrgbClr r="0" g="0" b="0"/>
        </a:lnRef>
        <a:fillRef idx="1002">
          <a:schemeClr val="dk1"/>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0</xdr:row>
      <xdr:rowOff>148166</xdr:rowOff>
    </xdr:from>
    <xdr:to>
      <xdr:col>19</xdr:col>
      <xdr:colOff>504264</xdr:colOff>
      <xdr:row>2</xdr:row>
      <xdr:rowOff>171622</xdr:rowOff>
    </xdr:to>
    <xdr:sp macro="" textlink="">
      <xdr:nvSpPr>
        <xdr:cNvPr id="4" name="TextBox 3">
          <a:extLst>
            <a:ext uri="{FF2B5EF4-FFF2-40B4-BE49-F238E27FC236}">
              <a16:creationId xmlns:a16="http://schemas.microsoft.com/office/drawing/2014/main" id="{EEB55750-F9DA-C6D4-CE3A-DC9C66F8B99D}"/>
            </a:ext>
          </a:extLst>
        </xdr:cNvPr>
        <xdr:cNvSpPr txBox="1"/>
      </xdr:nvSpPr>
      <xdr:spPr>
        <a:xfrm>
          <a:off x="605234" y="148166"/>
          <a:ext cx="11398483" cy="400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cap="none" spc="0">
              <a:ln w="0"/>
              <a:solidFill>
                <a:schemeClr val="tx1">
                  <a:lumMod val="95000"/>
                  <a:lumOff val="5000"/>
                </a:schemeClr>
              </a:solidFill>
              <a:effectLst>
                <a:outerShdw blurRad="38100" dist="19050" dir="2700000" algn="tl" rotWithShape="0">
                  <a:schemeClr val="dk1">
                    <a:alpha val="40000"/>
                  </a:schemeClr>
                </a:outerShdw>
              </a:effectLst>
            </a:rPr>
            <a:t>Loan Prediction</a:t>
          </a:r>
          <a:r>
            <a:rPr lang="en-IN" sz="2400" b="1" cap="none" spc="0" baseline="0">
              <a:ln w="0"/>
              <a:solidFill>
                <a:schemeClr val="tx1">
                  <a:lumMod val="95000"/>
                  <a:lumOff val="5000"/>
                </a:schemeClr>
              </a:solidFill>
              <a:effectLst>
                <a:outerShdw blurRad="38100" dist="19050" dir="2700000" algn="tl" rotWithShape="0">
                  <a:schemeClr val="dk1">
                    <a:alpha val="40000"/>
                  </a:schemeClr>
                </a:outerShdw>
              </a:effectLst>
            </a:rPr>
            <a:t> Dashboard</a:t>
          </a:r>
          <a:endParaRPr lang="en-IN" sz="2400" b="1" cap="none" spc="0">
            <a:ln w="0"/>
            <a:solidFill>
              <a:schemeClr val="tx1">
                <a:lumMod val="95000"/>
                <a:lumOff val="5000"/>
              </a:schemeClr>
            </a:solidFill>
            <a:effectLst>
              <a:outerShdw blurRad="38100" dist="19050" dir="2700000" algn="tl" rotWithShape="0">
                <a:schemeClr val="dk1">
                  <a:alpha val="40000"/>
                </a:schemeClr>
              </a:outerShdw>
            </a:effectLst>
          </a:endParaRPr>
        </a:p>
      </xdr:txBody>
    </xdr:sp>
    <xdr:clientData/>
  </xdr:twoCellAnchor>
  <xdr:twoCellAnchor>
    <xdr:from>
      <xdr:col>4</xdr:col>
      <xdr:colOff>436372</xdr:colOff>
      <xdr:row>7</xdr:row>
      <xdr:rowOff>177426</xdr:rowOff>
    </xdr:from>
    <xdr:to>
      <xdr:col>11</xdr:col>
      <xdr:colOff>494926</xdr:colOff>
      <xdr:row>22</xdr:row>
      <xdr:rowOff>81179</xdr:rowOff>
    </xdr:to>
    <xdr:graphicFrame macro="">
      <xdr:nvGraphicFramePr>
        <xdr:cNvPr id="8" name="Chart 7">
          <a:extLst>
            <a:ext uri="{FF2B5EF4-FFF2-40B4-BE49-F238E27FC236}">
              <a16:creationId xmlns:a16="http://schemas.microsoft.com/office/drawing/2014/main" id="{6E101FE7-FAF8-4653-BC8B-0061A64CA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84044</xdr:colOff>
      <xdr:row>23</xdr:row>
      <xdr:rowOff>37353</xdr:rowOff>
    </xdr:from>
    <xdr:to>
      <xdr:col>19</xdr:col>
      <xdr:colOff>270809</xdr:colOff>
      <xdr:row>38</xdr:row>
      <xdr:rowOff>90518</xdr:rowOff>
    </xdr:to>
    <xdr:graphicFrame macro="">
      <xdr:nvGraphicFramePr>
        <xdr:cNvPr id="9" name="Chart 8">
          <a:extLst>
            <a:ext uri="{FF2B5EF4-FFF2-40B4-BE49-F238E27FC236}">
              <a16:creationId xmlns:a16="http://schemas.microsoft.com/office/drawing/2014/main" id="{B57441B5-6327-4CCA-BDE7-BA6D75550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112058</xdr:colOff>
      <xdr:row>7</xdr:row>
      <xdr:rowOff>168089</xdr:rowOff>
    </xdr:from>
    <xdr:to>
      <xdr:col>19</xdr:col>
      <xdr:colOff>298539</xdr:colOff>
      <xdr:row>22</xdr:row>
      <xdr:rowOff>93382</xdr:rowOff>
    </xdr:to>
    <xdr:graphicFrame macro="">
      <xdr:nvGraphicFramePr>
        <xdr:cNvPr id="10" name="Chart 9">
          <a:extLst>
            <a:ext uri="{FF2B5EF4-FFF2-40B4-BE49-F238E27FC236}">
              <a16:creationId xmlns:a16="http://schemas.microsoft.com/office/drawing/2014/main" id="{A3C76BB9-2535-418A-BB39-977628119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420219</xdr:colOff>
      <xdr:row>23</xdr:row>
      <xdr:rowOff>36729</xdr:rowOff>
    </xdr:from>
    <xdr:to>
      <xdr:col>11</xdr:col>
      <xdr:colOff>488665</xdr:colOff>
      <xdr:row>38</xdr:row>
      <xdr:rowOff>93381</xdr:rowOff>
    </xdr:to>
    <xdr:graphicFrame macro="">
      <xdr:nvGraphicFramePr>
        <xdr:cNvPr id="11" name="Chart 10">
          <a:extLst>
            <a:ext uri="{FF2B5EF4-FFF2-40B4-BE49-F238E27FC236}">
              <a16:creationId xmlns:a16="http://schemas.microsoft.com/office/drawing/2014/main" id="{2B76C041-4E69-4FB3-B3E2-47BDA068A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24</xdr:row>
      <xdr:rowOff>70556</xdr:rowOff>
    </xdr:from>
    <xdr:to>
      <xdr:col>4</xdr:col>
      <xdr:colOff>0</xdr:colOff>
      <xdr:row>29</xdr:row>
      <xdr:rowOff>99967</xdr:rowOff>
    </xdr:to>
    <mc:AlternateContent xmlns:mc="http://schemas.openxmlformats.org/markup-compatibility/2006" xmlns:a14="http://schemas.microsoft.com/office/drawing/2010/main">
      <mc:Choice Requires="a14">
        <xdr:graphicFrame macro="">
          <xdr:nvGraphicFramePr>
            <xdr:cNvPr id="12" name="Loan_Status_Predicted 1">
              <a:extLst>
                <a:ext uri="{FF2B5EF4-FFF2-40B4-BE49-F238E27FC236}">
                  <a16:creationId xmlns:a16="http://schemas.microsoft.com/office/drawing/2014/main" id="{578C3558-49F1-4AA7-9395-14C006AD85C3}"/>
                </a:ext>
              </a:extLst>
            </xdr:cNvPr>
            <xdr:cNvGraphicFramePr/>
          </xdr:nvGraphicFramePr>
          <xdr:xfrm>
            <a:off x="0" y="0"/>
            <a:ext cx="0" cy="0"/>
          </xdr:xfrm>
          <a:graphic>
            <a:graphicData uri="http://schemas.microsoft.com/office/drawing/2010/slicer">
              <sle:slicer xmlns:sle="http://schemas.microsoft.com/office/drawing/2010/slicer" name="Loan_Status_Predicted 1"/>
            </a:graphicData>
          </a:graphic>
        </xdr:graphicFrame>
      </mc:Choice>
      <mc:Fallback xmlns="">
        <xdr:sp macro="" textlink="">
          <xdr:nvSpPr>
            <xdr:cNvPr id="0" name=""/>
            <xdr:cNvSpPr>
              <a:spLocks noTextEdit="1"/>
            </xdr:cNvSpPr>
          </xdr:nvSpPr>
          <xdr:spPr>
            <a:xfrm>
              <a:off x="611481" y="4586112"/>
              <a:ext cx="1834445" cy="97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5645</xdr:colOff>
      <xdr:row>11</xdr:row>
      <xdr:rowOff>135937</xdr:rowOff>
    </xdr:from>
    <xdr:to>
      <xdr:col>4</xdr:col>
      <xdr:colOff>0</xdr:colOff>
      <xdr:row>18</xdr:row>
      <xdr:rowOff>0</xdr:rowOff>
    </xdr:to>
    <mc:AlternateContent xmlns:mc="http://schemas.openxmlformats.org/markup-compatibility/2006" xmlns:a14="http://schemas.microsoft.com/office/drawing/2010/main">
      <mc:Choice Requires="a14">
        <xdr:graphicFrame macro="">
          <xdr:nvGraphicFramePr>
            <xdr:cNvPr id="13" name="Property_Area 1">
              <a:extLst>
                <a:ext uri="{FF2B5EF4-FFF2-40B4-BE49-F238E27FC236}">
                  <a16:creationId xmlns:a16="http://schemas.microsoft.com/office/drawing/2014/main" id="{8476423A-7AF2-4C30-8712-E6E14312DCB3}"/>
                </a:ext>
              </a:extLst>
            </xdr:cNvPr>
            <xdr:cNvGraphicFramePr/>
          </xdr:nvGraphicFramePr>
          <xdr:xfrm>
            <a:off x="0" y="0"/>
            <a:ext cx="0" cy="0"/>
          </xdr:xfrm>
          <a:graphic>
            <a:graphicData uri="http://schemas.microsoft.com/office/drawing/2010/slicer">
              <sle:slicer xmlns:sle="http://schemas.microsoft.com/office/drawing/2010/slicer" name="Property_Area 1"/>
            </a:graphicData>
          </a:graphic>
        </xdr:graphicFrame>
      </mc:Choice>
      <mc:Fallback xmlns="">
        <xdr:sp macro="" textlink="">
          <xdr:nvSpPr>
            <xdr:cNvPr id="0" name=""/>
            <xdr:cNvSpPr>
              <a:spLocks noTextEdit="1"/>
            </xdr:cNvSpPr>
          </xdr:nvSpPr>
          <xdr:spPr>
            <a:xfrm>
              <a:off x="617126" y="2205567"/>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17404</xdr:colOff>
      <xdr:row>18</xdr:row>
      <xdr:rowOff>134761</xdr:rowOff>
    </xdr:from>
    <xdr:to>
      <xdr:col>4</xdr:col>
      <xdr:colOff>11759</xdr:colOff>
      <xdr:row>23</xdr:row>
      <xdr:rowOff>152871</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6583D452-9ECB-489B-A321-54DF7ABC656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28885" y="3521428"/>
              <a:ext cx="182880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5</xdr:row>
      <xdr:rowOff>148442</xdr:rowOff>
    </xdr:from>
    <xdr:to>
      <xdr:col>7</xdr:col>
      <xdr:colOff>156148</xdr:colOff>
      <xdr:row>7</xdr:row>
      <xdr:rowOff>114509</xdr:rowOff>
    </xdr:to>
    <xdr:sp macro="" textlink="'Loan Approval'!B8">
      <xdr:nvSpPr>
        <xdr:cNvPr id="15" name="TextBox 14">
          <a:extLst>
            <a:ext uri="{FF2B5EF4-FFF2-40B4-BE49-F238E27FC236}">
              <a16:creationId xmlns:a16="http://schemas.microsoft.com/office/drawing/2014/main" id="{555F5593-E48D-7E74-F657-41D2FF5D5912}"/>
            </a:ext>
          </a:extLst>
        </xdr:cNvPr>
        <xdr:cNvSpPr txBox="1"/>
      </xdr:nvSpPr>
      <xdr:spPr>
        <a:xfrm>
          <a:off x="3070902" y="1085327"/>
          <a:ext cx="1384508" cy="340821"/>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2387FF-0485-4D3D-BA23-B09AD993EFFC}" type="TxLink">
            <a:rPr lang="en-US" sz="1400" b="1" i="0" u="none" strike="noStrike">
              <a:solidFill>
                <a:schemeClr val="accent6">
                  <a:lumMod val="20000"/>
                  <a:lumOff val="80000"/>
                </a:schemeClr>
              </a:solidFill>
              <a:latin typeface="Calibri"/>
              <a:ea typeface="Calibri"/>
              <a:cs typeface="Calibri"/>
            </a:rPr>
            <a:pPr algn="ctr"/>
            <a:t>83.65</a:t>
          </a:fld>
          <a:endParaRPr lang="en-IN" sz="1400" b="1">
            <a:solidFill>
              <a:schemeClr val="accent6">
                <a:lumMod val="20000"/>
                <a:lumOff val="80000"/>
              </a:schemeClr>
            </a:solidFill>
          </a:endParaRPr>
        </a:p>
      </xdr:txBody>
    </xdr:sp>
    <xdr:clientData/>
  </xdr:twoCellAnchor>
  <xdr:twoCellAnchor>
    <xdr:from>
      <xdr:col>16</xdr:col>
      <xdr:colOff>244195</xdr:colOff>
      <xdr:row>5</xdr:row>
      <xdr:rowOff>131949</xdr:rowOff>
    </xdr:from>
    <xdr:to>
      <xdr:col>19</xdr:col>
      <xdr:colOff>74221</xdr:colOff>
      <xdr:row>7</xdr:row>
      <xdr:rowOff>82468</xdr:rowOff>
    </xdr:to>
    <xdr:sp macro="" textlink="'Average loan amount'!D5">
      <xdr:nvSpPr>
        <xdr:cNvPr id="16" name="TextBox 15">
          <a:extLst>
            <a:ext uri="{FF2B5EF4-FFF2-40B4-BE49-F238E27FC236}">
              <a16:creationId xmlns:a16="http://schemas.microsoft.com/office/drawing/2014/main" id="{E325C4DE-2933-4444-A918-9A94F836B0F0}"/>
            </a:ext>
          </a:extLst>
        </xdr:cNvPr>
        <xdr:cNvSpPr txBox="1"/>
      </xdr:nvSpPr>
      <xdr:spPr>
        <a:xfrm>
          <a:off x="10008351" y="1039092"/>
          <a:ext cx="1660805" cy="313376"/>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5669C3-43EA-4D34-9B76-16018CEDE4A3}" type="TxLink">
            <a:rPr lang="en-US" sz="1400" b="1" i="0" u="none" strike="noStrike">
              <a:solidFill>
                <a:schemeClr val="accent6">
                  <a:lumMod val="20000"/>
                  <a:lumOff val="80000"/>
                </a:schemeClr>
              </a:solidFill>
              <a:latin typeface="Calibri"/>
              <a:ea typeface="Calibri"/>
              <a:cs typeface="Calibri"/>
            </a:rPr>
            <a:pPr algn="ctr"/>
            <a:t>135.98</a:t>
          </a:fld>
          <a:endParaRPr lang="en-IN" sz="1400" b="1">
            <a:solidFill>
              <a:schemeClr val="accent6">
                <a:lumMod val="20000"/>
                <a:lumOff val="80000"/>
              </a:schemeClr>
            </a:solidFill>
          </a:endParaRPr>
        </a:p>
      </xdr:txBody>
    </xdr:sp>
    <xdr:clientData/>
  </xdr:twoCellAnchor>
  <xdr:twoCellAnchor>
    <xdr:from>
      <xdr:col>9</xdr:col>
      <xdr:colOff>0</xdr:colOff>
      <xdr:row>5</xdr:row>
      <xdr:rowOff>123702</xdr:rowOff>
    </xdr:from>
    <xdr:to>
      <xdr:col>11</xdr:col>
      <xdr:colOff>156688</xdr:colOff>
      <xdr:row>7</xdr:row>
      <xdr:rowOff>94075</xdr:rowOff>
    </xdr:to>
    <xdr:sp macro="" textlink="'Loan Approval'!B12">
      <xdr:nvSpPr>
        <xdr:cNvPr id="18" name="TextBox 17">
          <a:extLst>
            <a:ext uri="{FF2B5EF4-FFF2-40B4-BE49-F238E27FC236}">
              <a16:creationId xmlns:a16="http://schemas.microsoft.com/office/drawing/2014/main" id="{E0FBB942-04D1-40B3-BDA1-AF56E4031DF7}"/>
            </a:ext>
          </a:extLst>
        </xdr:cNvPr>
        <xdr:cNvSpPr txBox="1"/>
      </xdr:nvSpPr>
      <xdr:spPr>
        <a:xfrm>
          <a:off x="5492338" y="1030845"/>
          <a:ext cx="1377207" cy="333230"/>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1F09D4-FC3E-48E7-9113-62C459C8BCCC}" type="TxLink">
            <a:rPr lang="en-US" sz="1400" b="1" i="0" u="none" strike="noStrike">
              <a:solidFill>
                <a:schemeClr val="accent6">
                  <a:lumMod val="20000"/>
                  <a:lumOff val="80000"/>
                </a:schemeClr>
              </a:solidFill>
              <a:latin typeface="Calibri"/>
              <a:ea typeface="Calibri"/>
              <a:cs typeface="Calibri"/>
            </a:rPr>
            <a:pPr algn="ctr"/>
            <a:t>367</a:t>
          </a:fld>
          <a:endParaRPr lang="en-IN" sz="1400" b="1">
            <a:solidFill>
              <a:schemeClr val="accent6">
                <a:lumMod val="20000"/>
                <a:lumOff val="80000"/>
              </a:schemeClr>
            </a:solidFill>
          </a:endParaRPr>
        </a:p>
      </xdr:txBody>
    </xdr:sp>
    <xdr:clientData/>
  </xdr:twoCellAnchor>
  <xdr:twoCellAnchor>
    <xdr:from>
      <xdr:col>16</xdr:col>
      <xdr:colOff>246944</xdr:colOff>
      <xdr:row>4</xdr:row>
      <xdr:rowOff>0</xdr:rowOff>
    </xdr:from>
    <xdr:to>
      <xdr:col>19</xdr:col>
      <xdr:colOff>74221</xdr:colOff>
      <xdr:row>5</xdr:row>
      <xdr:rowOff>90714</xdr:rowOff>
    </xdr:to>
    <xdr:sp macro="" textlink="">
      <xdr:nvSpPr>
        <xdr:cNvPr id="19" name="TextBox 18">
          <a:extLst>
            <a:ext uri="{FF2B5EF4-FFF2-40B4-BE49-F238E27FC236}">
              <a16:creationId xmlns:a16="http://schemas.microsoft.com/office/drawing/2014/main" id="{F0C3828B-8BAC-47E5-90E8-FB5ADCD5A4F8}"/>
            </a:ext>
          </a:extLst>
        </xdr:cNvPr>
        <xdr:cNvSpPr txBox="1"/>
      </xdr:nvSpPr>
      <xdr:spPr>
        <a:xfrm>
          <a:off x="10011100" y="725714"/>
          <a:ext cx="1658056" cy="272143"/>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Average Loan Amount</a:t>
          </a:r>
        </a:p>
      </xdr:txBody>
    </xdr:sp>
    <xdr:clientData/>
  </xdr:twoCellAnchor>
  <xdr:twoCellAnchor>
    <xdr:from>
      <xdr:col>12</xdr:col>
      <xdr:colOff>329259</xdr:colOff>
      <xdr:row>4</xdr:row>
      <xdr:rowOff>0</xdr:rowOff>
    </xdr:from>
    <xdr:to>
      <xdr:col>14</xdr:col>
      <xdr:colOff>329259</xdr:colOff>
      <xdr:row>5</xdr:row>
      <xdr:rowOff>94074</xdr:rowOff>
    </xdr:to>
    <xdr:sp macro="" textlink="">
      <xdr:nvSpPr>
        <xdr:cNvPr id="20" name="TextBox 19">
          <a:extLst>
            <a:ext uri="{FF2B5EF4-FFF2-40B4-BE49-F238E27FC236}">
              <a16:creationId xmlns:a16="http://schemas.microsoft.com/office/drawing/2014/main" id="{D2A23A39-C5BD-4067-AB30-0DB968A466AE}"/>
            </a:ext>
          </a:extLst>
        </xdr:cNvPr>
        <xdr:cNvSpPr txBox="1"/>
      </xdr:nvSpPr>
      <xdr:spPr>
        <a:xfrm>
          <a:off x="7667037" y="752593"/>
          <a:ext cx="1222963" cy="282222"/>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Average Income</a:t>
          </a:r>
        </a:p>
      </xdr:txBody>
    </xdr:sp>
    <xdr:clientData/>
  </xdr:twoCellAnchor>
  <xdr:twoCellAnchor>
    <xdr:from>
      <xdr:col>9</xdr:col>
      <xdr:colOff>0</xdr:colOff>
      <xdr:row>4</xdr:row>
      <xdr:rowOff>0</xdr:rowOff>
    </xdr:from>
    <xdr:to>
      <xdr:col>11</xdr:col>
      <xdr:colOff>148442</xdr:colOff>
      <xdr:row>5</xdr:row>
      <xdr:rowOff>107208</xdr:rowOff>
    </xdr:to>
    <xdr:sp macro="" textlink="">
      <xdr:nvSpPr>
        <xdr:cNvPr id="21" name="TextBox 20">
          <a:extLst>
            <a:ext uri="{FF2B5EF4-FFF2-40B4-BE49-F238E27FC236}">
              <a16:creationId xmlns:a16="http://schemas.microsoft.com/office/drawing/2014/main" id="{0A362376-8003-469B-A2CC-19CC34B27C3D}"/>
            </a:ext>
          </a:extLst>
        </xdr:cNvPr>
        <xdr:cNvSpPr txBox="1"/>
      </xdr:nvSpPr>
      <xdr:spPr>
        <a:xfrm>
          <a:off x="5492338" y="725714"/>
          <a:ext cx="1368961" cy="288637"/>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Applications</a:t>
          </a:r>
        </a:p>
      </xdr:txBody>
    </xdr:sp>
    <xdr:clientData/>
  </xdr:twoCellAnchor>
  <xdr:twoCellAnchor>
    <xdr:from>
      <xdr:col>5</xdr:col>
      <xdr:colOff>0</xdr:colOff>
      <xdr:row>4</xdr:row>
      <xdr:rowOff>23519</xdr:rowOff>
    </xdr:from>
    <xdr:to>
      <xdr:col>7</xdr:col>
      <xdr:colOff>145738</xdr:colOff>
      <xdr:row>5</xdr:row>
      <xdr:rowOff>124918</xdr:rowOff>
    </xdr:to>
    <xdr:sp macro="" textlink="">
      <xdr:nvSpPr>
        <xdr:cNvPr id="22" name="TextBox 21">
          <a:extLst>
            <a:ext uri="{FF2B5EF4-FFF2-40B4-BE49-F238E27FC236}">
              <a16:creationId xmlns:a16="http://schemas.microsoft.com/office/drawing/2014/main" id="{E94F8EE3-6BBD-48F0-A783-3985232EFEA1}"/>
            </a:ext>
          </a:extLst>
        </xdr:cNvPr>
        <xdr:cNvSpPr txBox="1"/>
      </xdr:nvSpPr>
      <xdr:spPr>
        <a:xfrm>
          <a:off x="3070902" y="773027"/>
          <a:ext cx="1374098" cy="288776"/>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Approval Rate (%)</a:t>
          </a:r>
        </a:p>
      </xdr:txBody>
    </xdr:sp>
    <xdr:clientData/>
  </xdr:twoCellAnchor>
  <xdr:twoCellAnchor>
    <xdr:from>
      <xdr:col>12</xdr:col>
      <xdr:colOff>333091</xdr:colOff>
      <xdr:row>5</xdr:row>
      <xdr:rowOff>123701</xdr:rowOff>
    </xdr:from>
    <xdr:to>
      <xdr:col>14</xdr:col>
      <xdr:colOff>333091</xdr:colOff>
      <xdr:row>7</xdr:row>
      <xdr:rowOff>86781</xdr:rowOff>
    </xdr:to>
    <xdr:sp macro="" textlink="'Average loan amount'!D9">
      <xdr:nvSpPr>
        <xdr:cNvPr id="2" name="TextBox 1">
          <a:extLst>
            <a:ext uri="{FF2B5EF4-FFF2-40B4-BE49-F238E27FC236}">
              <a16:creationId xmlns:a16="http://schemas.microsoft.com/office/drawing/2014/main" id="{83181F94-5858-4078-B281-9ED279A5F1BF}"/>
            </a:ext>
          </a:extLst>
        </xdr:cNvPr>
        <xdr:cNvSpPr txBox="1"/>
      </xdr:nvSpPr>
      <xdr:spPr>
        <a:xfrm>
          <a:off x="7656208" y="1030844"/>
          <a:ext cx="1220519" cy="325937"/>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ED6489-1BB1-4DD8-9C18-4D363D3F2CBA}" type="TxLink">
            <a:rPr lang="en-US" sz="1400" b="1" i="0" u="none" strike="noStrike">
              <a:solidFill>
                <a:schemeClr val="accent6">
                  <a:lumMod val="20000"/>
                  <a:lumOff val="80000"/>
                </a:schemeClr>
              </a:solidFill>
              <a:latin typeface="Calibri"/>
              <a:ea typeface="Calibri"/>
              <a:cs typeface="Calibri"/>
            </a:rPr>
            <a:pPr algn="ctr"/>
            <a:t>6375.18</a:t>
          </a:fld>
          <a:endParaRPr lang="en-IN" sz="1400" b="1">
            <a:solidFill>
              <a:schemeClr val="accent6">
                <a:lumMod val="20000"/>
                <a:lumOff val="80000"/>
              </a:schemeClr>
            </a:solidFill>
          </a:endParaRPr>
        </a:p>
      </xdr:txBody>
    </xdr:sp>
    <xdr:clientData/>
  </xdr:twoCellAnchor>
  <xdr:twoCellAnchor>
    <xdr:from>
      <xdr:col>17</xdr:col>
      <xdr:colOff>305129</xdr:colOff>
      <xdr:row>19</xdr:row>
      <xdr:rowOff>107208</xdr:rowOff>
    </xdr:from>
    <xdr:to>
      <xdr:col>19</xdr:col>
      <xdr:colOff>247403</xdr:colOff>
      <xdr:row>22</xdr:row>
      <xdr:rowOff>74221</xdr:rowOff>
    </xdr:to>
    <xdr:sp macro="" textlink="">
      <xdr:nvSpPr>
        <xdr:cNvPr id="5" name="TextBox 4">
          <a:extLst>
            <a:ext uri="{FF2B5EF4-FFF2-40B4-BE49-F238E27FC236}">
              <a16:creationId xmlns:a16="http://schemas.microsoft.com/office/drawing/2014/main" id="{BA65ECED-451D-D739-1ACC-2ABFBECE5C7F}"/>
            </a:ext>
          </a:extLst>
        </xdr:cNvPr>
        <xdr:cNvSpPr txBox="1"/>
      </xdr:nvSpPr>
      <xdr:spPr>
        <a:xfrm>
          <a:off x="10679545" y="3554351"/>
          <a:ext cx="1162793" cy="511299"/>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800" b="1">
              <a:solidFill>
                <a:schemeClr val="accent3">
                  <a:lumMod val="40000"/>
                  <a:lumOff val="60000"/>
                </a:schemeClr>
              </a:solidFill>
            </a:rPr>
            <a:t>Average</a:t>
          </a:r>
          <a:r>
            <a:rPr lang="en-IN" sz="800" b="1" baseline="0">
              <a:solidFill>
                <a:schemeClr val="accent3">
                  <a:lumMod val="40000"/>
                  <a:lumOff val="60000"/>
                </a:schemeClr>
              </a:solidFill>
            </a:rPr>
            <a:t> Income ratio</a:t>
          </a:r>
        </a:p>
        <a:p>
          <a:r>
            <a:rPr lang="en-IN" sz="800" b="1">
              <a:solidFill>
                <a:schemeClr val="accent2">
                  <a:lumMod val="75000"/>
                </a:schemeClr>
              </a:solidFill>
            </a:rPr>
            <a:t>Average</a:t>
          </a:r>
          <a:r>
            <a:rPr lang="en-IN" sz="800" b="1" baseline="0">
              <a:solidFill>
                <a:schemeClr val="accent2">
                  <a:lumMod val="75000"/>
                </a:schemeClr>
              </a:solidFill>
            </a:rPr>
            <a:t> Loan Amount</a:t>
          </a:r>
        </a:p>
        <a:p>
          <a:r>
            <a:rPr lang="en-IN" sz="800" b="1">
              <a:solidFill>
                <a:schemeClr val="accent1">
                  <a:lumMod val="50000"/>
                </a:schemeClr>
              </a:solidFill>
            </a:rPr>
            <a:t>Average</a:t>
          </a:r>
          <a:r>
            <a:rPr lang="en-IN" sz="800" b="1" baseline="0">
              <a:solidFill>
                <a:schemeClr val="accent1">
                  <a:lumMod val="50000"/>
                </a:schemeClr>
              </a:solidFill>
            </a:rPr>
            <a:t> Income</a:t>
          </a:r>
          <a:endParaRPr lang="en-IN" sz="800" b="1">
            <a:solidFill>
              <a:schemeClr val="accent1">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7.693852893521" createdVersion="8" refreshedVersion="8" minRefreshableVersion="3" recordCount="367" xr:uid="{B2CC3858-86BE-4246-9D38-B8890FE4FD27}">
  <cacheSource type="worksheet">
    <worksheetSource ref="A1:O368" sheet="Sheet1"/>
  </cacheSource>
  <cacheFields count="15">
    <cacheField name="Loan_ID" numFmtId="0">
      <sharedItems count="367">
        <s v="LP001015"/>
        <s v="LP001022"/>
        <s v="LP001031"/>
        <s v="LP001035"/>
        <s v="LP001051"/>
        <s v="LP001054"/>
        <s v="LP001055"/>
        <s v="LP001056"/>
        <s v="LP001059"/>
        <s v="LP001067"/>
        <s v="LP001078"/>
        <s v="LP001082"/>
        <s v="LP001083"/>
        <s v="LP001094"/>
        <s v="LP001096"/>
        <s v="LP001099"/>
        <s v="LP001105"/>
        <s v="LP001107"/>
        <s v="LP001108"/>
        <s v="LP001115"/>
        <s v="LP001121"/>
        <s v="LP001124"/>
        <s v="LP001128"/>
        <s v="LP001135"/>
        <s v="LP001149"/>
        <s v="LP001153"/>
        <s v="LP001163"/>
        <s v="LP001169"/>
        <s v="LP001174"/>
        <s v="LP001176"/>
        <s v="LP001177"/>
        <s v="LP001183"/>
        <s v="LP001185"/>
        <s v="LP001187"/>
        <s v="LP001190"/>
        <s v="LP001203"/>
        <s v="LP001208"/>
        <s v="LP001210"/>
        <s v="LP001211"/>
        <s v="LP001219"/>
        <s v="LP001220"/>
        <s v="LP001221"/>
        <s v="LP001226"/>
        <s v="LP001230"/>
        <s v="LP001231"/>
        <s v="LP001232"/>
        <s v="LP001237"/>
        <s v="LP001242"/>
        <s v="LP001268"/>
        <s v="LP001270"/>
        <s v="LP001284"/>
        <s v="LP001287"/>
        <s v="LP001291"/>
        <s v="LP001298"/>
        <s v="LP001312"/>
        <s v="LP001313"/>
        <s v="LP001317"/>
        <s v="LP001321"/>
        <s v="LP001323"/>
        <s v="LP001324"/>
        <s v="LP001332"/>
        <s v="LP001335"/>
        <s v="LP001338"/>
        <s v="LP001347"/>
        <s v="LP001348"/>
        <s v="LP001351"/>
        <s v="LP001352"/>
        <s v="LP001358"/>
        <s v="LP001359"/>
        <s v="LP001361"/>
        <s v="LP001366"/>
        <s v="LP001368"/>
        <s v="LP001375"/>
        <s v="LP001380"/>
        <s v="LP001386"/>
        <s v="LP001400"/>
        <s v="LP001407"/>
        <s v="LP001413"/>
        <s v="LP001415"/>
        <s v="LP001419"/>
        <s v="LP001420"/>
        <s v="LP001428"/>
        <s v="LP001445"/>
        <s v="LP001446"/>
        <s v="LP001450"/>
        <s v="LP001452"/>
        <s v="LP001455"/>
        <s v="LP001466"/>
        <s v="LP001471"/>
        <s v="LP001472"/>
        <s v="LP001475"/>
        <s v="LP001483"/>
        <s v="LP001486"/>
        <s v="LP001490"/>
        <s v="LP001496"/>
        <s v="LP001499"/>
        <s v="LP001500"/>
        <s v="LP001501"/>
        <s v="LP001517"/>
        <s v="LP001527"/>
        <s v="LP001534"/>
        <s v="LP001542"/>
        <s v="LP001547"/>
        <s v="LP001548"/>
        <s v="LP001558"/>
        <s v="LP001561"/>
        <s v="LP001563"/>
        <s v="LP001567"/>
        <s v="LP001568"/>
        <s v="LP001573"/>
        <s v="LP001584"/>
        <s v="LP001587"/>
        <s v="LP001589"/>
        <s v="LP001591"/>
        <s v="LP001599"/>
        <s v="LP001601"/>
        <s v="LP001607"/>
        <s v="LP001611"/>
        <s v="LP001613"/>
        <s v="LP001622"/>
        <s v="LP001627"/>
        <s v="LP001650"/>
        <s v="LP001651"/>
        <s v="LP001652"/>
        <s v="LP001655"/>
        <s v="LP001660"/>
        <s v="LP001662"/>
        <s v="LP001663"/>
        <s v="LP001667"/>
        <s v="LP001695"/>
        <s v="LP001703"/>
        <s v="LP001718"/>
        <s v="LP001728"/>
        <s v="LP001735"/>
        <s v="LP001737"/>
        <s v="LP001739"/>
        <s v="LP001742"/>
        <s v="LP001757"/>
        <s v="LP001769"/>
        <s v="LP001771"/>
        <s v="LP001785"/>
        <s v="LP001787"/>
        <s v="LP001789"/>
        <s v="LP001791"/>
        <s v="LP001794"/>
        <s v="LP001797"/>
        <s v="LP001815"/>
        <s v="LP001817"/>
        <s v="LP001818"/>
        <s v="LP001822"/>
        <s v="LP001827"/>
        <s v="LP001831"/>
        <s v="LP001842"/>
        <s v="LP001853"/>
        <s v="LP001855"/>
        <s v="LP001857"/>
        <s v="LP001862"/>
        <s v="LP001867"/>
        <s v="LP001878"/>
        <s v="LP001881"/>
        <s v="LP001886"/>
        <s v="LP001906"/>
        <s v="LP001909"/>
        <s v="LP001911"/>
        <s v="LP001921"/>
        <s v="LP001923"/>
        <s v="LP001933"/>
        <s v="LP001943"/>
        <s v="LP001950"/>
        <s v="LP001959"/>
        <s v="LP001961"/>
        <s v="LP001973"/>
        <s v="LP001975"/>
        <s v="LP001979"/>
        <s v="LP001995"/>
        <s v="LP001999"/>
        <s v="LP002007"/>
        <s v="LP002009"/>
        <s v="LP002016"/>
        <s v="LP002017"/>
        <s v="LP002018"/>
        <s v="LP002027"/>
        <s v="LP002028"/>
        <s v="LP002042"/>
        <s v="LP002045"/>
        <s v="LP002046"/>
        <s v="LP002047"/>
        <s v="LP002056"/>
        <s v="LP002057"/>
        <s v="LP002059"/>
        <s v="LP002062"/>
        <s v="LP002064"/>
        <s v="LP002069"/>
        <s v="LP002070"/>
        <s v="LP002077"/>
        <s v="LP002083"/>
        <s v="LP002090"/>
        <s v="LP002096"/>
        <s v="LP002099"/>
        <s v="LP002102"/>
        <s v="LP002105"/>
        <s v="LP002107"/>
        <s v="LP002111"/>
        <s v="LP002117"/>
        <s v="LP002118"/>
        <s v="LP002123"/>
        <s v="LP002125"/>
        <s v="LP002148"/>
        <s v="LP002152"/>
        <s v="LP002165"/>
        <s v="LP002167"/>
        <s v="LP002168"/>
        <s v="LP002172"/>
        <s v="LP002176"/>
        <s v="LP002183"/>
        <s v="LP002184"/>
        <s v="LP002186"/>
        <s v="LP002192"/>
        <s v="LP002195"/>
        <s v="LP002208"/>
        <s v="LP002212"/>
        <s v="LP002240"/>
        <s v="LP002245"/>
        <s v="LP002253"/>
        <s v="LP002256"/>
        <s v="LP002257"/>
        <s v="LP002264"/>
        <s v="LP002270"/>
        <s v="LP002279"/>
        <s v="LP002286"/>
        <s v="LP002294"/>
        <s v="LP002298"/>
        <s v="LP002306"/>
        <s v="LP002310"/>
        <s v="LP002311"/>
        <s v="LP002316"/>
        <s v="LP002321"/>
        <s v="LP002325"/>
        <s v="LP002326"/>
        <s v="LP002329"/>
        <s v="LP002333"/>
        <s v="LP002339"/>
        <s v="LP002344"/>
        <s v="LP002346"/>
        <s v="LP002354"/>
        <s v="LP002355"/>
        <s v="LP002358"/>
        <s v="LP002360"/>
        <s v="LP002375"/>
        <s v="LP002376"/>
        <s v="LP002383"/>
        <s v="LP002385"/>
        <s v="LP002389"/>
        <s v="LP002394"/>
        <s v="LP002397"/>
        <s v="LP002399"/>
        <s v="LP002400"/>
        <s v="LP002402"/>
        <s v="LP002412"/>
        <s v="LP002415"/>
        <s v="LP002417"/>
        <s v="LP002420"/>
        <s v="LP002425"/>
        <s v="LP002433"/>
        <s v="LP002440"/>
        <s v="LP002441"/>
        <s v="LP002442"/>
        <s v="LP002445"/>
        <s v="LP002450"/>
        <s v="LP002471"/>
        <s v="LP002476"/>
        <s v="LP002482"/>
        <s v="LP002485"/>
        <s v="LP002495"/>
        <s v="LP002496"/>
        <s v="LP002523"/>
        <s v="LP002542"/>
        <s v="LP002550"/>
        <s v="LP002551"/>
        <s v="LP002553"/>
        <s v="LP002554"/>
        <s v="LP002561"/>
        <s v="LP002566"/>
        <s v="LP002568"/>
        <s v="LP002570"/>
        <s v="LP002572"/>
        <s v="LP002581"/>
        <s v="LP002584"/>
        <s v="LP002592"/>
        <s v="LP002593"/>
        <s v="LP002599"/>
        <s v="LP002604"/>
        <s v="LP002605"/>
        <s v="LP002609"/>
        <s v="LP002610"/>
        <s v="LP002612"/>
        <s v="LP002614"/>
        <s v="LP002630"/>
        <s v="LP002635"/>
        <s v="LP002639"/>
        <s v="LP002644"/>
        <s v="LP002651"/>
        <s v="LP002654"/>
        <s v="LP002657"/>
        <s v="LP002711"/>
        <s v="LP002712"/>
        <s v="LP002721"/>
        <s v="LP002735"/>
        <s v="LP002744"/>
        <s v="LP002745"/>
        <s v="LP002746"/>
        <s v="LP002747"/>
        <s v="LP002754"/>
        <s v="LP002759"/>
        <s v="LP002760"/>
        <s v="LP002766"/>
        <s v="LP002769"/>
        <s v="LP002774"/>
        <s v="LP002775"/>
        <s v="LP002781"/>
        <s v="LP002782"/>
        <s v="LP002786"/>
        <s v="LP002790"/>
        <s v="LP002791"/>
        <s v="LP002793"/>
        <s v="LP002802"/>
        <s v="LP002803"/>
        <s v="LP002805"/>
        <s v="LP002806"/>
        <s v="LP002816"/>
        <s v="LP002823"/>
        <s v="LP002825"/>
        <s v="LP002826"/>
        <s v="LP002843"/>
        <s v="LP002849"/>
        <s v="LP002850"/>
        <s v="LP002853"/>
        <s v="LP002856"/>
        <s v="LP002857"/>
        <s v="LP002858"/>
        <s v="LP002860"/>
        <s v="LP002867"/>
        <s v="LP002869"/>
        <s v="LP002870"/>
        <s v="LP002876"/>
        <s v="LP002878"/>
        <s v="LP002879"/>
        <s v="LP002885"/>
        <s v="LP002890"/>
        <s v="LP002891"/>
        <s v="LP002899"/>
        <s v="LP002901"/>
        <s v="LP002907"/>
        <s v="LP002920"/>
        <s v="LP002921"/>
        <s v="LP002932"/>
        <s v="LP002935"/>
        <s v="LP002952"/>
        <s v="LP002954"/>
        <s v="LP002962"/>
        <s v="LP002965"/>
        <s v="LP002969"/>
        <s v="LP002971"/>
        <s v="LP002975"/>
        <s v="LP002980"/>
        <s v="LP002986"/>
        <s v="LP002989"/>
      </sharedItems>
    </cacheField>
    <cacheField name="Gender" numFmtId="0">
      <sharedItems count="2">
        <s v="Male"/>
        <s v="Female"/>
      </sharedItems>
    </cacheField>
    <cacheField name="Married" numFmtId="0">
      <sharedItems/>
    </cacheField>
    <cacheField name="Dependents" numFmtId="0">
      <sharedItems/>
    </cacheField>
    <cacheField name="Education" numFmtId="0">
      <sharedItems count="2">
        <s v="Graduate"/>
        <s v="Not Graduate"/>
      </sharedItems>
    </cacheField>
    <cacheField name="Self_Employed" numFmtId="0">
      <sharedItems/>
    </cacheField>
    <cacheField name="ApplicantIncome" numFmtId="0">
      <sharedItems containsSemiMixedTypes="0" containsString="0" containsNumber="1" containsInteger="1" minValue="0" maxValue="72529"/>
    </cacheField>
    <cacheField name="CoapplicantIncome" numFmtId="0">
      <sharedItems containsSemiMixedTypes="0" containsString="0" containsNumber="1" containsInteger="1" minValue="0" maxValue="24000"/>
    </cacheField>
    <cacheField name="LoanAmount" numFmtId="0">
      <sharedItems containsSemiMixedTypes="0" containsString="0" containsNumber="1" containsInteger="1" minValue="28" maxValue="550"/>
    </cacheField>
    <cacheField name="Loan_Amount_Term" numFmtId="0">
      <sharedItems containsSemiMixedTypes="0" containsString="0" containsNumber="1" containsInteger="1" minValue="6" maxValue="480"/>
    </cacheField>
    <cacheField name="Credit_History" numFmtId="0">
      <sharedItems containsSemiMixedTypes="0" containsString="0" containsNumber="1" containsInteger="1" minValue="0" maxValue="1" count="2">
        <n v="1"/>
        <n v="0"/>
      </sharedItems>
    </cacheField>
    <cacheField name="Property_Area" numFmtId="0">
      <sharedItems count="3">
        <s v="Urban"/>
        <s v="Semiurban"/>
        <s v="Rural"/>
      </sharedItems>
    </cacheField>
    <cacheField name="Total_Income" numFmtId="0">
      <sharedItems containsSemiMixedTypes="0" containsString="0" containsNumber="1" containsInteger="1" minValue="1760" maxValue="72529" count="348">
        <n v="5720"/>
        <n v="4576"/>
        <n v="6800"/>
        <n v="4886"/>
        <n v="3276"/>
        <n v="5587"/>
        <n v="2226"/>
        <n v="3881"/>
        <n v="13633"/>
        <n v="4800"/>
        <n v="3091"/>
        <n v="3701"/>
        <n v="4166"/>
        <n v="12173"/>
        <n v="4666"/>
        <n v="5667"/>
        <n v="7499"/>
        <n v="4119"/>
        <n v="17142"/>
        <n v="4770"/>
        <n v="3508"/>
        <n v="2083"/>
        <n v="3909"/>
        <n v="3765"/>
        <n v="9780"/>
        <n v="24000"/>
        <n v="5613"/>
        <n v="11250"/>
        <n v="4605"/>
        <n v="5324"/>
        <n v="2478"/>
        <n v="7070"/>
        <n v="4951"/>
        <n v="5491"/>
        <n v="4281"/>
        <n v="3150"/>
        <n v="11379"/>
        <n v="5059"/>
        <n v="5833"/>
        <n v="5606"/>
        <n v="6447"/>
        <n v="3644"/>
        <n v="3774"/>
        <n v="9100"/>
        <n v="3666"/>
        <n v="8160"/>
        <n v="5638"/>
        <n v="4258"/>
        <n v="10130"/>
        <n v="8250"/>
        <n v="4126"/>
        <n v="4333"/>
        <n v="6577"/>
        <n v="5116"/>
        <n v="5293"/>
        <n v="2750"/>
        <n v="4402"/>
        <n v="7152"/>
        <n v="6443"/>
        <n v="4720"/>
        <n v="4136"/>
        <n v="7308"/>
        <n v="4968"/>
        <n v="3601"/>
        <n v="4490"/>
        <n v="6500"/>
        <n v="4700"/>
        <n v="3445"/>
        <n v="7666"/>
        <n v="7563"/>
        <n v="3250"/>
        <n v="4463"/>
        <n v="5858"/>
        <n v="5994"/>
        <n v="8333"/>
        <n v="7018"/>
        <n v="5556"/>
        <n v="6356"/>
        <n v="7466"/>
        <n v="7950"/>
        <n v="4932"/>
        <n v="72529"/>
        <n v="8449"/>
        <n v="4456"/>
        <n v="12635"/>
        <n v="5488"/>
        <n v="3066"/>
        <n v="5250"/>
        <n v="5058"/>
        <n v="5474"/>
        <n v="13518"/>
        <n v="6864"/>
        <n v="6412"/>
        <n v="6942"/>
        <n v="6260"/>
        <n v="7533"/>
        <n v="6750"/>
        <n v="9719"/>
        <n v="6835"/>
        <n v="4452"/>
        <n v="2262"/>
        <n v="3901"/>
        <n v="2687"/>
        <n v="4476"/>
        <n v="4704"/>
        <n v="3356"/>
        <n v="4513"/>
        <n v="4500"/>
        <n v="5873"/>
        <n v="4742"/>
        <n v="4082"/>
        <n v="3417"/>
        <n v="6318"/>
        <n v="8921"/>
        <n v="8366"/>
        <n v="1760"/>
        <n v="4416"/>
        <n v="4428"/>
        <n v="4234"/>
        <n v="3125"/>
        <n v="6136"/>
        <n v="4910"/>
        <n v="8914"/>
        <n v="12500"/>
        <n v="4667"/>
        <n v="7500"/>
        <n v="3073"/>
        <n v="5409"/>
        <n v="4603"/>
        <n v="3391"/>
        <n v="4860"/>
        <n v="3620"/>
        <n v="4000"/>
        <n v="4939"/>
        <n v="4583"/>
        <n v="4083"/>
        <n v="4727"/>
        <n v="6088"/>
        <n v="7322"/>
        <n v="32000"/>
        <n v="10890"/>
        <n v="12941"/>
        <n v="8703"/>
        <n v="5459"/>
        <n v="5900"/>
        <n v="7380"/>
        <n v="4239"/>
        <n v="5000"/>
        <n v="4823"/>
        <n v="4855"/>
        <n v="4073"/>
        <n v="8492"/>
        <n v="6624"/>
        <n v="8352"/>
        <n v="7895"/>
        <n v="8406"/>
        <n v="2964"/>
        <n v="5583"/>
        <n v="2708"/>
        <n v="5550"/>
        <n v="2268"/>
        <n v="3158"/>
        <n v="6209"/>
        <n v="4685"/>
        <n v="3564"/>
        <n v="3958"/>
        <n v="4483"/>
        <n v="5225"/>
        <n v="5862"/>
        <n v="4251"/>
        <n v="9526"/>
        <n v="2918"/>
        <n v="5128"/>
        <n v="15312"/>
        <n v="6590"/>
        <n v="7279"/>
        <n v="4358"/>
        <n v="7917"/>
        <n v="10916"/>
        <n v="5705"/>
        <n v="9167"/>
        <n v="13083"/>
        <n v="11841"/>
        <n v="6697"/>
        <n v="4652"/>
        <n v="12690"/>
        <n v="4796"/>
        <n v="3600"/>
        <n v="3240"/>
        <n v="3342"/>
        <n v="8706"/>
        <n v="3397"/>
        <n v="4316"/>
        <n v="5533"/>
        <n v="3089"/>
        <n v="5030"/>
        <n v="7560"/>
        <n v="4157"/>
        <n v="4213"/>
        <n v="6065"/>
        <n v="2362"/>
        <n v="7733"/>
        <n v="5384"/>
        <n v="5708"/>
        <n v="7473"/>
        <n v="5044"/>
        <n v="5205"/>
        <n v="10013"/>
        <n v="6655"/>
        <n v="5886"/>
        <n v="4332"/>
        <n v="5668"/>
        <n v="2896"/>
        <n v="5062"/>
        <n v="5184"/>
        <n v="2545"/>
        <n v="4321"/>
        <n v="7245"/>
        <n v="5167"/>
        <n v="5180"/>
        <n v="29418"/>
        <n v="5848"/>
        <n v="2767"/>
        <n v="7600"/>
        <n v="3945"/>
        <n v="5005"/>
        <n v="7485"/>
        <n v="20149"/>
        <n v="3623"/>
        <n v="3844"/>
        <n v="5404"/>
        <n v="4338"/>
        <n v="4243"/>
        <n v="2107"/>
        <n v="6331"/>
        <n v="7166"/>
        <n v="10000"/>
        <n v="3943"/>
        <n v="2925"/>
        <n v="3679"/>
        <n v="3863"/>
        <n v="4028"/>
        <n v="5035"/>
        <n v="5304"/>
        <n v="2858"/>
        <n v="3833"/>
        <n v="7621"/>
        <n v="6732"/>
        <n v="6433"/>
        <n v="5411"/>
        <n v="4532"/>
        <n v="4155"/>
        <n v="18840"/>
        <n v="4115"/>
        <n v="6887"/>
        <n v="5235"/>
        <n v="7429"/>
        <n v="6583"/>
        <n v="4079"/>
        <n v="7249"/>
        <n v="24797"/>
        <n v="6107"/>
        <n v="3500"/>
        <n v="4270"/>
        <n v="5769"/>
        <n v="4544"/>
        <n v="29167"/>
        <n v="4223"/>
        <n v="5530"/>
        <n v="9000"/>
        <n v="21666"/>
        <n v="8750"/>
        <n v="4887"/>
        <n v="6319"/>
        <n v="4983"/>
        <n v="12333"/>
        <n v="5999"/>
        <n v="3271"/>
        <n v="4241"/>
        <n v="4357"/>
        <n v="2666"/>
        <n v="6478"/>
        <n v="3808"/>
        <n v="3729"/>
        <n v="4120"/>
        <n v="6300"/>
        <n v="14987"/>
        <n v="2695"/>
        <n v="3300"/>
        <n v="3816"/>
        <n v="3859"/>
        <n v="6825"/>
        <n v="8408"/>
        <n v="5314"/>
        <n v="7638"/>
        <n v="4174"/>
        <n v="3767"/>
        <n v="8738"/>
        <n v="4283"/>
        <n v="4600"/>
        <n v="4768"/>
        <n v="5821"/>
        <n v="4209"/>
        <n v="3409"/>
        <n v="3400"/>
        <n v="21000"/>
        <n v="5333"/>
        <n v="5291"/>
        <n v="3218"/>
        <n v="5741"/>
        <n v="8369"/>
        <n v="5158"/>
        <n v="5509"/>
        <n v="9699"/>
        <n v="6338"/>
        <n v="4709"/>
        <n v="3467"/>
        <n v="2400"/>
        <n v="5015"/>
        <n v="3850"/>
        <n v="5715"/>
        <n v="6666"/>
        <n v="7454"/>
        <n v="8247"/>
        <n v="3522"/>
        <n v="6858"/>
        <n v="8334"/>
        <n v="5357"/>
        <n v="2868"/>
        <n v="4798"/>
        <n v="2796"/>
        <n v="8667"/>
        <n v="17283"/>
        <n v="6727"/>
        <n v="8888"/>
        <n v="5503"/>
        <n v="8816"/>
        <n v="5727"/>
        <n v="2500"/>
        <n v="3132"/>
        <n v="6667"/>
        <n v="12805"/>
        <n v="4436"/>
        <n v="5786"/>
        <n v="4867"/>
        <n v="5243"/>
        <n v="7393"/>
        <n v="9200"/>
      </sharedItems>
    </cacheField>
    <cacheField name="Loan_Income_Ratio" numFmtId="0">
      <sharedItems containsSemiMixedTypes="0" containsString="0" containsNumber="1" minValue="1.904761904761905E-3" maxValue="0.10227272727272731" count="365">
        <n v="1.9230769230769228E-2"/>
        <n v="2.7534965034965039E-2"/>
        <n v="3.0588235294117649E-2"/>
        <n v="2.046663937781416E-2"/>
        <n v="2.3809523809523812E-2"/>
        <n v="2.7206013960980852E-2"/>
        <n v="2.6504941599281219E-2"/>
        <n v="3.787683586704458E-2"/>
        <n v="2.053839947186973E-2"/>
        <n v="2.5624999999999998E-2"/>
        <n v="2.9116790682626979E-2"/>
        <n v="4.3771953526074027E-2"/>
        <n v="9.6015362457993279E-3"/>
        <n v="1.363673704099236E-2"/>
        <n v="2.6575225032147449E-2"/>
        <n v="2.311628727721899E-2"/>
        <n v="2.6670222696359519E-2"/>
        <n v="3.058994901675164E-2"/>
        <n v="1.7500875043752188E-2"/>
        <n v="2.0964360587002101E-2"/>
        <n v="1.3683010262257701E-2"/>
        <n v="1.344215074411906E-2"/>
        <n v="2.5837810181632129E-2"/>
        <n v="3.3200531208499327E-2"/>
        <n v="2.9652351738241309E-2"/>
        <n v="6.1666666666666667E-3"/>
        <n v="2.4942098699447711E-2"/>
        <n v="2.4444444444444449E-2"/>
        <n v="1.237785016286645E-2"/>
        <n v="2.3478587528174309E-2"/>
        <n v="3.026634382566586E-2"/>
        <n v="2.7157001414427159E-2"/>
        <n v="3.0700868511411839E-2"/>
        <n v="2.8774358040429791E-2"/>
        <n v="2.3592618547068438E-2"/>
        <n v="5.5873015873015873E-2"/>
        <n v="1.6258019158098248E-2"/>
        <n v="1.7790077090334061E-2"/>
        <n v="1.9886850677181551E-2"/>
        <n v="2.4616482340349629E-2"/>
        <n v="1.5511090429657211E-2"/>
        <n v="3.018660812294182E-2"/>
        <n v="2.3847376788553261E-2"/>
        <n v="2.197802197802198E-2"/>
        <n v="2.291325695581015E-2"/>
        <n v="2.267156862745098E-2"/>
        <n v="2.8733593472862719E-2"/>
        <n v="2.5364020666979799E-2"/>
        <n v="1.8460019743336619E-2"/>
        <n v="2.2666666666666668E-2"/>
        <n v="3.0053320407174022E-2"/>
        <n v="2.7694438033694899E-2"/>
        <n v="2.4327200851452031E-2"/>
        <n v="5.8639562157935888E-3"/>
        <n v="1.738144719440771E-2"/>
        <n v="4.7272727272727272E-2"/>
        <n v="2.953203089504771E-2"/>
        <n v="1.8736017897091721E-2"/>
        <n v="2.7316467484091261E-2"/>
        <n v="1.9067796610169489E-2"/>
        <n v="2.6595744680851061E-2"/>
        <n v="1.710454296661193E-2"/>
        <n v="3.8043478260869568E-2"/>
        <n v="2.9991668980838659E-2"/>
        <n v="2.7839643652561249E-2"/>
        <n v="2.123076923076923E-2"/>
        <n v="2.8723404255319149E-2"/>
        <n v="3.7735849056603772E-2"/>
        <n v="2.4393425515262201E-2"/>
        <n v="2.4857860637313239E-2"/>
        <n v="2.923076923076923E-2"/>
        <n v="1.456419448801255E-2"/>
        <n v="2.372823489245476E-2"/>
        <n v="3.8705372038705367E-2"/>
        <n v="1.7280691227649109E-2"/>
        <n v="2.2086064405813621E-2"/>
        <n v="3.3477321814254862E-2"/>
        <n v="7.866582756450597E-3"/>
        <n v="1.6742566300562551E-2"/>
        <n v="2.3270440251572329E-2"/>
        <n v="3.3049472830494718E-2"/>
        <n v="4.9635318286478511E-3"/>
        <n v="3.6025145067698258E-2"/>
        <n v="3.0417800923186179E-2"/>
        <n v="2.9398563734290839E-2"/>
        <n v="8.0728136129798178E-3"/>
        <n v="2.4599125364431491E-2"/>
        <n v="3.0984996738421391E-2"/>
        <n v="1.466666666666667E-2"/>
        <n v="3.9541320680110723E-2"/>
        <n v="2.3748629886737298E-2"/>
        <n v="2.8850421660008879E-2"/>
        <n v="2.6952214452214449E-2"/>
        <n v="1.559575795383656E-2"/>
        <n v="1.7718236819360411E-2"/>
        <n v="1.7571884984025558E-2"/>
        <n v="3.3983804593123591E-2"/>
        <n v="2.074074074074074E-2"/>
        <n v="6.2763658812635048E-3"/>
        <n v="2.750548646671544E-2"/>
        <n v="2.9424977538185081E-2"/>
        <n v="5.5260831122900089E-2"/>
        <n v="2.973596513714432E-2"/>
        <n v="1.860811313732787E-2"/>
        <n v="2.3905272564789991E-2"/>
        <n v="4.2517006802721087E-2"/>
        <n v="3.5458879618593557E-2"/>
        <n v="2.658985153999557E-2"/>
        <n v="3.111111111111111E-2"/>
        <n v="2.809467052613656E-2"/>
        <n v="2.277520033741038E-2"/>
        <n v="2.278294953454189E-2"/>
        <n v="2.9850746268656719E-2"/>
        <n v="1.9309908198797091E-2"/>
        <n v="1.793520905728057E-2"/>
        <n v="1.8766435572555581E-2"/>
        <n v="0.10227272727272731"/>
        <n v="1.8115942028985511E-2"/>
        <n v="2.3486901535682021E-2"/>
        <n v="5.030703826169107E-2"/>
        <n v="2.0799999999999999E-2"/>
        <n v="2.3794002607561929E-2"/>
        <n v="2.7494908350305498E-2"/>
        <n v="2.0978236481938521E-2"/>
        <n v="2.4E-2"/>
        <n v="2.5712449110777798E-2"/>
        <n v="1.0923076923076921E-2"/>
        <n v="0.03"/>
        <n v="2.277904328018223E-2"/>
        <n v="1.2941393973007949E-2"/>
        <n v="2.6938952856832499E-2"/>
        <n v="3.892657033323503E-2"/>
        <n v="2.1604938271604941E-2"/>
        <n v="2.486187845303867E-2"/>
        <n v="2.0750000000000001E-2"/>
        <n v="2.935650540159699E-2"/>
        <n v="3.2666666666666663E-2"/>
        <n v="2.4296416278598909E-2"/>
        <n v="2.4001745581496831E-2"/>
        <n v="2.5226549106049469E-2"/>
        <n v="3.1732599957689872E-2"/>
        <n v="1.6425755584756899E-2"/>
        <n v="1.8983884184649E-2"/>
        <n v="1.7187500000000001E-2"/>
        <n v="2.3875114784205689E-2"/>
        <n v="1.159106715091569E-2"/>
        <n v="2.7472527472527469E-2"/>
        <n v="2.2865678501666091E-2"/>
        <n v="2.5462538926543321E-2"/>
        <n v="2.542372881355932E-2"/>
        <n v="2.4390243902439029E-2"/>
        <n v="2.6657230478886532E-2"/>
        <n v="2.9600000000000001E-2"/>
        <n v="2.4258760107816711E-2"/>
        <n v="1.483007209062822E-2"/>
        <n v="3.0689909157868889E-2"/>
        <n v="2.5200188412623649E-2"/>
        <n v="2.007850241545894E-2"/>
        <n v="2.2389846743295021E-2"/>
        <n v="1.811272957568081E-2"/>
        <n v="2.4863192957411372E-2"/>
        <n v="2.8340080971659919E-2"/>
        <n v="2.0777359842378652E-2"/>
        <n v="2.4002954209748888E-2"/>
        <n v="1.4414414414414409E-2"/>
        <n v="7.4955908289241618E-2"/>
        <n v="3.799873337555415E-2"/>
        <n v="2.1742631663713961E-2"/>
        <n v="2.0064034151547491E-2"/>
        <n v="2.2166105499438829E-2"/>
        <n v="2.7791814047498739E-2"/>
        <n v="2.8998438545616779E-2"/>
        <n v="2.736842105263158E-2"/>
        <n v="2.7123848515864891E-2"/>
        <n v="2.58762644083745E-2"/>
        <n v="1.6796136888515639E-2"/>
        <n v="2.2458426195782619E-2"/>
        <n v="2.2275531185743661E-2"/>
        <n v="2.788611544461778E-2"/>
        <n v="1.221264367816092E-2"/>
        <n v="2.4279210925644921E-2"/>
        <n v="2.266794889407886E-2"/>
        <n v="2.5240936209270311E-2"/>
        <n v="2.185171150688392E-2"/>
        <n v="1.3741297178453651E-2"/>
        <n v="3.0113763105063571E-2"/>
        <n v="2.6292725679228749E-2"/>
        <n v="2.5635431438856771E-2"/>
        <n v="9.5543835511732785E-3"/>
        <n v="2.837598175829744E-2"/>
        <n v="3.0463881837064392E-2"/>
        <n v="2.3512123438648051E-2"/>
        <n v="2.6877706435717481E-2"/>
        <n v="2.7515047291487529E-2"/>
        <n v="3.2466509062253741E-2"/>
        <n v="2.3769808173477899E-2"/>
        <n v="3.1944444444444442E-2"/>
        <n v="3.2098765432098768E-2"/>
        <n v="2.6331538001196891E-2"/>
        <n v="1.24052377670572E-2"/>
        <n v="2.649396526346777E-2"/>
        <n v="2.3169601482854491E-2"/>
        <n v="1.9519248147478761E-2"/>
        <n v="2.52508902557462E-2"/>
        <n v="2.445328031809145E-2"/>
        <n v="2.4735449735449739E-2"/>
        <n v="3.5121481837863837E-2"/>
        <n v="1.8988844054118201E-2"/>
        <n v="1.6488046166529269E-2"/>
        <n v="2.3285351397121089E-2"/>
        <n v="2.5863183757920599E-2"/>
        <n v="2.786032689450223E-2"/>
        <n v="2.6278906797477221E-2"/>
        <n v="1.5790177974039879E-2"/>
        <n v="2.9738302934179221E-2"/>
        <n v="2.2670509125840541E-2"/>
        <n v="2.1172475781484072E-2"/>
        <n v="3.1855747558226899E-2"/>
        <n v="2.1236833163438669E-2"/>
        <n v="2.4930747922437671E-2"/>
        <n v="2.6287932251235002E-2"/>
        <n v="2.7624309392265189E-2"/>
        <n v="3.0027657052548399E-2"/>
        <n v="3.6072530864197531E-2"/>
        <n v="2.9076620825147351E-2"/>
        <n v="2.3605646841009031E-2"/>
        <n v="1.380262249827467E-2"/>
        <n v="2.515966711825043E-2"/>
        <n v="2.4131274131274132E-2"/>
        <n v="4.4190631586103748E-3"/>
        <n v="2.359781121751026E-2"/>
        <n v="1.011926273942898E-2"/>
        <n v="1.210526315789474E-2"/>
        <n v="2.636248415716096E-2"/>
        <n v="3.5164835164835158E-2"/>
        <n v="1.5631262525050101E-2"/>
        <n v="5.0622859695270226E-3"/>
        <n v="2.9533535743858679E-2"/>
        <n v="1.5231940918532191E-2"/>
        <n v="2.7315296566077001E-2"/>
        <n v="1.9430051813471499E-2"/>
        <n v="2.420470262793914E-2"/>
        <n v="2.9460287532406319E-2"/>
        <n v="3.0374940673944001E-2"/>
        <n v="2.3692939504027798E-2"/>
        <n v="2.0932179737650009E-2"/>
        <n v="1.2500000000000001E-2"/>
        <n v="1.6231295967537411E-2"/>
        <n v="1.367521367521368E-2"/>
        <n v="3.8597444957868987E-2"/>
        <n v="1.8120631633445509E-2"/>
        <n v="3.2522343594836148E-2"/>
        <n v="2.3833167825223441E-2"/>
        <n v="2.1493212669683261E-2"/>
        <n v="4.3037088873338E-2"/>
        <n v="2.4002087138011999E-2"/>
        <n v="2.0994620128592049E-2"/>
        <n v="2.2430184194890079E-2"/>
        <n v="1.259132597543914E-2"/>
        <n v="3.1602291628164851E-2"/>
        <n v="2.4271844660194171E-2"/>
        <n v="2.4067388688327321E-2"/>
        <n v="1.24203821656051E-2"/>
        <n v="4.4714459295261237E-2"/>
        <n v="2.0037752286917381E-2"/>
        <n v="2.139446036294174E-2"/>
        <n v="1.574909139857316E-2"/>
        <n v="7.4434148564484284E-3"/>
        <n v="2.8221208665906501E-2"/>
        <n v="2.4270654572199069E-2"/>
        <n v="2.9245413160435919E-2"/>
        <n v="9.6785901520345195E-3"/>
        <n v="2.128704765023743E-2"/>
        <n v="2.6857142857142861E-2"/>
        <n v="2.5292740046838409E-2"/>
        <n v="2.2153846153846149E-2"/>
        <n v="1.9067429363841221E-2"/>
        <n v="3.873239436619718E-2"/>
        <n v="6.3427846538896696E-3"/>
        <n v="2.8889415107743309E-2"/>
        <n v="2.52E-2"/>
        <n v="2.4412296564195302E-2"/>
        <n v="1.355555555555556E-2"/>
        <n v="2.1231422505307851E-2"/>
        <n v="3.3942857142857143E-2"/>
        <n v="2.864743196234909E-2"/>
        <n v="1.677480614021206E-2"/>
        <n v="2.829620710415412E-2"/>
        <n v="1.013540906510987E-2"/>
        <n v="2.999823539791777E-2"/>
        <n v="2.4170695115852639E-2"/>
        <n v="2.751452155304188E-2"/>
        <n v="2.0749823154916289E-2"/>
        <n v="2.937801239384898E-2"/>
        <n v="3.1507876969242309E-2"/>
        <n v="1.6671812287743129E-2"/>
        <n v="2.179621848739496E-2"/>
        <n v="3.1375703942075617E-2"/>
        <n v="3.1067961165048539E-2"/>
        <n v="0.01"/>
        <n v="1.984126984126984E-2"/>
        <n v="1.18102355374658E-2"/>
        <n v="2.5231910946196659E-2"/>
        <n v="2.9090909090909091E-2"/>
        <n v="4.716981132075472E-2"/>
        <n v="2.4400000000000002E-2"/>
        <n v="3.1355273386887803E-2"/>
        <n v="2.3736263736263741E-2"/>
        <n v="1.5699333967649859E-2"/>
        <n v="2.766277756868649E-2"/>
        <n v="2.0031421838177531E-2"/>
        <n v="2.491614758025874E-2"/>
        <n v="2.98E-2"/>
        <n v="3.5572073267852403E-2"/>
        <n v="1.8883039597161821E-2"/>
        <n v="2.8017744571561989E-2"/>
        <n v="1.456521739130435E-2"/>
        <n v="2.6216442953020131E-2"/>
        <n v="2.0615014602302011E-2"/>
        <n v="3.5162746495604663E-2"/>
        <n v="5.3094749193311822E-2"/>
        <n v="2.3529411764705879E-2"/>
        <n v="1.904761904761905E-3"/>
        <n v="1.687605475342209E-2"/>
        <n v="1.795501795501795E-2"/>
        <n v="3.791174642635177E-2"/>
        <n v="2.6127852290541719E-2"/>
        <n v="1.7923288325964869E-2"/>
        <n v="2.0162853819309809E-2"/>
        <n v="2.5957524051552001E-2"/>
        <n v="3.093102381688834E-2"/>
        <n v="2.6980119911644049E-2"/>
        <n v="2.3996602251008709E-2"/>
        <n v="1.009518315546582E-2"/>
        <n v="1.9166666666666669E-2"/>
        <n v="2.8913260219341971E-2"/>
        <n v="3.090909090909091E-2"/>
        <n v="1.522309711286089E-2"/>
        <n v="2.4302430243024298E-2"/>
        <n v="1.6367051247652271E-2"/>
        <n v="2.2674912089244579E-2"/>
        <n v="2.299829642248722E-2"/>
        <n v="1.7021276595744681E-2"/>
        <n v="2.5663458734324879E-2"/>
        <n v="3.1197504199664029E-2"/>
        <n v="2.4827328728766099E-2"/>
        <n v="2.4407252440725249E-2"/>
        <n v="2.813672363484785E-2"/>
        <n v="4.8998569384835482E-2"/>
        <n v="2.9306565132110309E-2"/>
        <n v="6.1331944685529133E-3"/>
        <n v="1.6203359595659279E-2"/>
        <n v="1.3501350135013499E-2"/>
        <n v="2.8711611848082859E-2"/>
        <n v="2.2345735027223229E-2"/>
        <n v="1.484197660206042E-2"/>
        <n v="2.426564495530013E-2"/>
        <n v="2.2798860056997151E-2"/>
        <n v="7.4970714564623186E-3"/>
        <n v="2.2317403065825071E-2"/>
        <n v="1.952989975803664E-2"/>
        <n v="2.3628518594616808E-2"/>
        <n v="2.4032042723631509E-2"/>
        <n v="2.13715676991749E-2"/>
        <n v="1.065217391304348E-2"/>
      </sharedItems>
    </cacheField>
    <cacheField name="Loan_Status_Predicted" numFmtId="0">
      <sharedItems count="2">
        <s v="Approved"/>
        <s v="Rejected"/>
      </sharedItems>
    </cacheField>
  </cacheFields>
  <extLst>
    <ext xmlns:x14="http://schemas.microsoft.com/office/spreadsheetml/2009/9/main" uri="{725AE2AE-9491-48be-B2B4-4EB974FC3084}">
      <x14:pivotCacheDefinition pivotCacheId="916141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
  <r>
    <x v="0"/>
    <x v="0"/>
    <s v="Yes"/>
    <s v="0"/>
    <x v="0"/>
    <s v="No"/>
    <n v="5720"/>
    <n v="0"/>
    <n v="110"/>
    <n v="360"/>
    <x v="0"/>
    <x v="0"/>
    <x v="0"/>
    <x v="0"/>
    <x v="0"/>
  </r>
  <r>
    <x v="1"/>
    <x v="0"/>
    <s v="Yes"/>
    <s v="1"/>
    <x v="0"/>
    <s v="No"/>
    <n v="3076"/>
    <n v="1500"/>
    <n v="126"/>
    <n v="360"/>
    <x v="0"/>
    <x v="0"/>
    <x v="1"/>
    <x v="1"/>
    <x v="0"/>
  </r>
  <r>
    <x v="2"/>
    <x v="0"/>
    <s v="Yes"/>
    <s v="2"/>
    <x v="0"/>
    <s v="No"/>
    <n v="5000"/>
    <n v="1800"/>
    <n v="208"/>
    <n v="360"/>
    <x v="0"/>
    <x v="0"/>
    <x v="2"/>
    <x v="2"/>
    <x v="0"/>
  </r>
  <r>
    <x v="3"/>
    <x v="0"/>
    <s v="Yes"/>
    <s v="2"/>
    <x v="0"/>
    <s v="No"/>
    <n v="2340"/>
    <n v="2546"/>
    <n v="100"/>
    <n v="360"/>
    <x v="0"/>
    <x v="0"/>
    <x v="3"/>
    <x v="3"/>
    <x v="0"/>
  </r>
  <r>
    <x v="4"/>
    <x v="0"/>
    <s v="No"/>
    <s v="0"/>
    <x v="1"/>
    <s v="No"/>
    <n v="3276"/>
    <n v="0"/>
    <n v="78"/>
    <n v="360"/>
    <x v="0"/>
    <x v="0"/>
    <x v="4"/>
    <x v="4"/>
    <x v="0"/>
  </r>
  <r>
    <x v="5"/>
    <x v="0"/>
    <s v="Yes"/>
    <s v="0"/>
    <x v="1"/>
    <s v="Yes"/>
    <n v="2165"/>
    <n v="3422"/>
    <n v="152"/>
    <n v="360"/>
    <x v="0"/>
    <x v="0"/>
    <x v="5"/>
    <x v="5"/>
    <x v="0"/>
  </r>
  <r>
    <x v="6"/>
    <x v="1"/>
    <s v="No"/>
    <s v="1"/>
    <x v="1"/>
    <s v="No"/>
    <n v="2226"/>
    <n v="0"/>
    <n v="59"/>
    <n v="360"/>
    <x v="0"/>
    <x v="1"/>
    <x v="6"/>
    <x v="6"/>
    <x v="0"/>
  </r>
  <r>
    <x v="7"/>
    <x v="0"/>
    <s v="Yes"/>
    <s v="2"/>
    <x v="1"/>
    <s v="No"/>
    <n v="3881"/>
    <n v="0"/>
    <n v="147"/>
    <n v="360"/>
    <x v="1"/>
    <x v="2"/>
    <x v="7"/>
    <x v="7"/>
    <x v="1"/>
  </r>
  <r>
    <x v="8"/>
    <x v="0"/>
    <s v="Yes"/>
    <s v="2"/>
    <x v="0"/>
    <s v="No"/>
    <n v="13633"/>
    <n v="0"/>
    <n v="280"/>
    <n v="240"/>
    <x v="0"/>
    <x v="0"/>
    <x v="8"/>
    <x v="8"/>
    <x v="0"/>
  </r>
  <r>
    <x v="9"/>
    <x v="0"/>
    <s v="No"/>
    <s v="0"/>
    <x v="1"/>
    <s v="No"/>
    <n v="2400"/>
    <n v="2400"/>
    <n v="123"/>
    <n v="360"/>
    <x v="0"/>
    <x v="1"/>
    <x v="9"/>
    <x v="9"/>
    <x v="0"/>
  </r>
  <r>
    <x v="10"/>
    <x v="0"/>
    <s v="No"/>
    <s v="0"/>
    <x v="1"/>
    <s v="No"/>
    <n v="3091"/>
    <n v="0"/>
    <n v="90"/>
    <n v="360"/>
    <x v="0"/>
    <x v="0"/>
    <x v="10"/>
    <x v="10"/>
    <x v="0"/>
  </r>
  <r>
    <x v="11"/>
    <x v="0"/>
    <s v="Yes"/>
    <s v="1"/>
    <x v="0"/>
    <s v="No"/>
    <n v="2185"/>
    <n v="1516"/>
    <n v="162"/>
    <n v="360"/>
    <x v="0"/>
    <x v="1"/>
    <x v="11"/>
    <x v="11"/>
    <x v="0"/>
  </r>
  <r>
    <x v="12"/>
    <x v="0"/>
    <s v="No"/>
    <s v="3+"/>
    <x v="0"/>
    <s v="No"/>
    <n v="4166"/>
    <n v="0"/>
    <n v="40"/>
    <n v="180"/>
    <x v="0"/>
    <x v="0"/>
    <x v="12"/>
    <x v="12"/>
    <x v="0"/>
  </r>
  <r>
    <x v="13"/>
    <x v="0"/>
    <s v="Yes"/>
    <s v="2"/>
    <x v="0"/>
    <s v="No"/>
    <n v="12173"/>
    <n v="0"/>
    <n v="166"/>
    <n v="360"/>
    <x v="1"/>
    <x v="1"/>
    <x v="13"/>
    <x v="13"/>
    <x v="1"/>
  </r>
  <r>
    <x v="14"/>
    <x v="1"/>
    <s v="No"/>
    <s v="0"/>
    <x v="0"/>
    <s v="No"/>
    <n v="4666"/>
    <n v="0"/>
    <n v="124"/>
    <n v="360"/>
    <x v="0"/>
    <x v="1"/>
    <x v="14"/>
    <x v="14"/>
    <x v="0"/>
  </r>
  <r>
    <x v="15"/>
    <x v="0"/>
    <s v="No"/>
    <s v="1"/>
    <x v="0"/>
    <s v="No"/>
    <n v="5667"/>
    <n v="0"/>
    <n v="131"/>
    <n v="360"/>
    <x v="0"/>
    <x v="0"/>
    <x v="15"/>
    <x v="15"/>
    <x v="0"/>
  </r>
  <r>
    <x v="16"/>
    <x v="0"/>
    <s v="Yes"/>
    <s v="2"/>
    <x v="0"/>
    <s v="No"/>
    <n v="4583"/>
    <n v="2916"/>
    <n v="200"/>
    <n v="360"/>
    <x v="0"/>
    <x v="0"/>
    <x v="16"/>
    <x v="16"/>
    <x v="0"/>
  </r>
  <r>
    <x v="17"/>
    <x v="0"/>
    <s v="Yes"/>
    <s v="3+"/>
    <x v="0"/>
    <s v="No"/>
    <n v="3786"/>
    <n v="333"/>
    <n v="126"/>
    <n v="360"/>
    <x v="0"/>
    <x v="1"/>
    <x v="17"/>
    <x v="17"/>
    <x v="0"/>
  </r>
  <r>
    <x v="18"/>
    <x v="0"/>
    <s v="Yes"/>
    <s v="0"/>
    <x v="0"/>
    <s v="No"/>
    <n v="9226"/>
    <n v="7916"/>
    <n v="300"/>
    <n v="360"/>
    <x v="0"/>
    <x v="0"/>
    <x v="18"/>
    <x v="18"/>
    <x v="0"/>
  </r>
  <r>
    <x v="19"/>
    <x v="0"/>
    <s v="No"/>
    <s v="0"/>
    <x v="0"/>
    <s v="No"/>
    <n v="1300"/>
    <n v="3470"/>
    <n v="100"/>
    <n v="180"/>
    <x v="0"/>
    <x v="1"/>
    <x v="19"/>
    <x v="19"/>
    <x v="0"/>
  </r>
  <r>
    <x v="20"/>
    <x v="0"/>
    <s v="Yes"/>
    <s v="1"/>
    <x v="1"/>
    <s v="No"/>
    <n v="1888"/>
    <n v="1620"/>
    <n v="48"/>
    <n v="360"/>
    <x v="0"/>
    <x v="0"/>
    <x v="20"/>
    <x v="20"/>
    <x v="0"/>
  </r>
  <r>
    <x v="21"/>
    <x v="1"/>
    <s v="No"/>
    <s v="3+"/>
    <x v="1"/>
    <s v="No"/>
    <n v="2083"/>
    <n v="0"/>
    <n v="28"/>
    <n v="180"/>
    <x v="0"/>
    <x v="0"/>
    <x v="21"/>
    <x v="21"/>
    <x v="0"/>
  </r>
  <r>
    <x v="22"/>
    <x v="0"/>
    <s v="No"/>
    <s v="0"/>
    <x v="0"/>
    <s v="No"/>
    <n v="3909"/>
    <n v="0"/>
    <n v="101"/>
    <n v="360"/>
    <x v="0"/>
    <x v="0"/>
    <x v="22"/>
    <x v="22"/>
    <x v="0"/>
  </r>
  <r>
    <x v="23"/>
    <x v="1"/>
    <s v="No"/>
    <s v="0"/>
    <x v="1"/>
    <s v="No"/>
    <n v="3765"/>
    <n v="0"/>
    <n v="125"/>
    <n v="360"/>
    <x v="0"/>
    <x v="0"/>
    <x v="23"/>
    <x v="23"/>
    <x v="0"/>
  </r>
  <r>
    <x v="24"/>
    <x v="0"/>
    <s v="Yes"/>
    <s v="0"/>
    <x v="0"/>
    <s v="No"/>
    <n v="5400"/>
    <n v="4380"/>
    <n v="290"/>
    <n v="360"/>
    <x v="0"/>
    <x v="0"/>
    <x v="24"/>
    <x v="24"/>
    <x v="0"/>
  </r>
  <r>
    <x v="25"/>
    <x v="0"/>
    <s v="No"/>
    <s v="0"/>
    <x v="0"/>
    <s v="No"/>
    <n v="0"/>
    <n v="24000"/>
    <n v="148"/>
    <n v="360"/>
    <x v="1"/>
    <x v="2"/>
    <x v="25"/>
    <x v="25"/>
    <x v="1"/>
  </r>
  <r>
    <x v="26"/>
    <x v="0"/>
    <s v="Yes"/>
    <s v="2"/>
    <x v="0"/>
    <s v="No"/>
    <n v="4363"/>
    <n v="1250"/>
    <n v="140"/>
    <n v="360"/>
    <x v="0"/>
    <x v="0"/>
    <x v="26"/>
    <x v="26"/>
    <x v="0"/>
  </r>
  <r>
    <x v="27"/>
    <x v="0"/>
    <s v="Yes"/>
    <s v="0"/>
    <x v="0"/>
    <s v="No"/>
    <n v="7500"/>
    <n v="3750"/>
    <n v="275"/>
    <n v="360"/>
    <x v="0"/>
    <x v="0"/>
    <x v="27"/>
    <x v="27"/>
    <x v="0"/>
  </r>
  <r>
    <x v="28"/>
    <x v="0"/>
    <s v="Yes"/>
    <s v="0"/>
    <x v="0"/>
    <s v="No"/>
    <n v="3772"/>
    <n v="833"/>
    <n v="57"/>
    <n v="360"/>
    <x v="0"/>
    <x v="1"/>
    <x v="28"/>
    <x v="28"/>
    <x v="0"/>
  </r>
  <r>
    <x v="29"/>
    <x v="0"/>
    <s v="No"/>
    <s v="0"/>
    <x v="0"/>
    <s v="No"/>
    <n v="2942"/>
    <n v="2382"/>
    <n v="125"/>
    <n v="180"/>
    <x v="0"/>
    <x v="0"/>
    <x v="29"/>
    <x v="29"/>
    <x v="0"/>
  </r>
  <r>
    <x v="30"/>
    <x v="1"/>
    <s v="No"/>
    <s v="0"/>
    <x v="1"/>
    <s v="No"/>
    <n v="2478"/>
    <n v="0"/>
    <n v="75"/>
    <n v="360"/>
    <x v="0"/>
    <x v="1"/>
    <x v="30"/>
    <x v="30"/>
    <x v="0"/>
  </r>
  <r>
    <x v="31"/>
    <x v="0"/>
    <s v="Yes"/>
    <s v="2"/>
    <x v="0"/>
    <s v="No"/>
    <n v="6250"/>
    <n v="820"/>
    <n v="192"/>
    <n v="360"/>
    <x v="0"/>
    <x v="0"/>
    <x v="31"/>
    <x v="31"/>
    <x v="0"/>
  </r>
  <r>
    <x v="32"/>
    <x v="0"/>
    <s v="No"/>
    <s v="0"/>
    <x v="0"/>
    <s v="No"/>
    <n v="3268"/>
    <n v="1683"/>
    <n v="152"/>
    <n v="360"/>
    <x v="0"/>
    <x v="1"/>
    <x v="32"/>
    <x v="32"/>
    <x v="0"/>
  </r>
  <r>
    <x v="33"/>
    <x v="0"/>
    <s v="Yes"/>
    <s v="0"/>
    <x v="0"/>
    <s v="No"/>
    <n v="2783"/>
    <n v="2708"/>
    <n v="158"/>
    <n v="360"/>
    <x v="0"/>
    <x v="0"/>
    <x v="33"/>
    <x v="33"/>
    <x v="0"/>
  </r>
  <r>
    <x v="34"/>
    <x v="0"/>
    <s v="Yes"/>
    <s v="0"/>
    <x v="0"/>
    <s v="No"/>
    <n v="2740"/>
    <n v="1541"/>
    <n v="101"/>
    <n v="360"/>
    <x v="0"/>
    <x v="0"/>
    <x v="34"/>
    <x v="34"/>
    <x v="0"/>
  </r>
  <r>
    <x v="35"/>
    <x v="0"/>
    <s v="No"/>
    <s v="0"/>
    <x v="0"/>
    <s v="No"/>
    <n v="3150"/>
    <n v="0"/>
    <n v="176"/>
    <n v="360"/>
    <x v="1"/>
    <x v="1"/>
    <x v="35"/>
    <x v="35"/>
    <x v="1"/>
  </r>
  <r>
    <x v="36"/>
    <x v="0"/>
    <s v="Yes"/>
    <s v="2"/>
    <x v="0"/>
    <s v="No"/>
    <n v="7350"/>
    <n v="4029"/>
    <n v="185"/>
    <n v="180"/>
    <x v="0"/>
    <x v="0"/>
    <x v="36"/>
    <x v="36"/>
    <x v="0"/>
  </r>
  <r>
    <x v="37"/>
    <x v="0"/>
    <s v="Yes"/>
    <s v="0"/>
    <x v="0"/>
    <s v="Yes"/>
    <n v="2267"/>
    <n v="2792"/>
    <n v="90"/>
    <n v="360"/>
    <x v="0"/>
    <x v="0"/>
    <x v="37"/>
    <x v="37"/>
    <x v="0"/>
  </r>
  <r>
    <x v="38"/>
    <x v="0"/>
    <s v="No"/>
    <s v="0"/>
    <x v="0"/>
    <s v="Yes"/>
    <n v="5833"/>
    <n v="0"/>
    <n v="116"/>
    <n v="360"/>
    <x v="0"/>
    <x v="0"/>
    <x v="38"/>
    <x v="38"/>
    <x v="0"/>
  </r>
  <r>
    <x v="39"/>
    <x v="0"/>
    <s v="No"/>
    <s v="0"/>
    <x v="0"/>
    <s v="No"/>
    <n v="3643"/>
    <n v="1963"/>
    <n v="138"/>
    <n v="360"/>
    <x v="0"/>
    <x v="0"/>
    <x v="39"/>
    <x v="39"/>
    <x v="0"/>
  </r>
  <r>
    <x v="40"/>
    <x v="0"/>
    <s v="Yes"/>
    <s v="0"/>
    <x v="0"/>
    <s v="No"/>
    <n v="5629"/>
    <n v="818"/>
    <n v="100"/>
    <n v="360"/>
    <x v="0"/>
    <x v="0"/>
    <x v="40"/>
    <x v="40"/>
    <x v="0"/>
  </r>
  <r>
    <x v="41"/>
    <x v="1"/>
    <s v="No"/>
    <s v="0"/>
    <x v="0"/>
    <s v="No"/>
    <n v="3644"/>
    <n v="0"/>
    <n v="110"/>
    <n v="360"/>
    <x v="0"/>
    <x v="0"/>
    <x v="41"/>
    <x v="41"/>
    <x v="0"/>
  </r>
  <r>
    <x v="42"/>
    <x v="0"/>
    <s v="Yes"/>
    <s v="0"/>
    <x v="1"/>
    <s v="No"/>
    <n v="1750"/>
    <n v="2024"/>
    <n v="90"/>
    <n v="360"/>
    <x v="0"/>
    <x v="1"/>
    <x v="42"/>
    <x v="42"/>
    <x v="0"/>
  </r>
  <r>
    <x v="43"/>
    <x v="0"/>
    <s v="No"/>
    <s v="0"/>
    <x v="0"/>
    <s v="No"/>
    <n v="6500"/>
    <n v="2600"/>
    <n v="200"/>
    <n v="360"/>
    <x v="0"/>
    <x v="1"/>
    <x v="43"/>
    <x v="43"/>
    <x v="0"/>
  </r>
  <r>
    <x v="44"/>
    <x v="1"/>
    <s v="No"/>
    <s v="0"/>
    <x v="0"/>
    <s v="No"/>
    <n v="3666"/>
    <n v="0"/>
    <n v="84"/>
    <n v="360"/>
    <x v="0"/>
    <x v="0"/>
    <x v="44"/>
    <x v="44"/>
    <x v="0"/>
  </r>
  <r>
    <x v="45"/>
    <x v="0"/>
    <s v="Yes"/>
    <s v="0"/>
    <x v="0"/>
    <s v="No"/>
    <n v="4260"/>
    <n v="3900"/>
    <n v="185"/>
    <n v="360"/>
    <x v="0"/>
    <x v="0"/>
    <x v="45"/>
    <x v="45"/>
    <x v="0"/>
  </r>
  <r>
    <x v="46"/>
    <x v="0"/>
    <s v="Yes"/>
    <s v="0"/>
    <x v="1"/>
    <s v="No"/>
    <n v="4163"/>
    <n v="1475"/>
    <n v="162"/>
    <n v="360"/>
    <x v="0"/>
    <x v="0"/>
    <x v="46"/>
    <x v="46"/>
    <x v="0"/>
  </r>
  <r>
    <x v="47"/>
    <x v="0"/>
    <s v="No"/>
    <s v="0"/>
    <x v="1"/>
    <s v="No"/>
    <n v="2356"/>
    <n v="1902"/>
    <n v="108"/>
    <n v="360"/>
    <x v="0"/>
    <x v="1"/>
    <x v="47"/>
    <x v="47"/>
    <x v="0"/>
  </r>
  <r>
    <x v="48"/>
    <x v="0"/>
    <s v="No"/>
    <s v="0"/>
    <x v="0"/>
    <s v="No"/>
    <n v="6792"/>
    <n v="3338"/>
    <n v="187"/>
    <n v="360"/>
    <x v="0"/>
    <x v="0"/>
    <x v="48"/>
    <x v="48"/>
    <x v="0"/>
  </r>
  <r>
    <x v="49"/>
    <x v="0"/>
    <s v="Yes"/>
    <s v="3+"/>
    <x v="1"/>
    <s v="Yes"/>
    <n v="8000"/>
    <n v="250"/>
    <n v="187"/>
    <n v="360"/>
    <x v="0"/>
    <x v="1"/>
    <x v="49"/>
    <x v="49"/>
    <x v="0"/>
  </r>
  <r>
    <x v="50"/>
    <x v="0"/>
    <s v="Yes"/>
    <s v="1"/>
    <x v="0"/>
    <s v="No"/>
    <n v="2419"/>
    <n v="1707"/>
    <n v="124"/>
    <n v="360"/>
    <x v="0"/>
    <x v="0"/>
    <x v="50"/>
    <x v="50"/>
    <x v="0"/>
  </r>
  <r>
    <x v="51"/>
    <x v="0"/>
    <s v="Yes"/>
    <s v="3+"/>
    <x v="1"/>
    <s v="No"/>
    <n v="3500"/>
    <n v="833"/>
    <n v="120"/>
    <n v="360"/>
    <x v="0"/>
    <x v="1"/>
    <x v="51"/>
    <x v="51"/>
    <x v="0"/>
  </r>
  <r>
    <x v="52"/>
    <x v="0"/>
    <s v="Yes"/>
    <s v="1"/>
    <x v="0"/>
    <s v="No"/>
    <n v="3500"/>
    <n v="3077"/>
    <n v="160"/>
    <n v="360"/>
    <x v="0"/>
    <x v="1"/>
    <x v="52"/>
    <x v="52"/>
    <x v="0"/>
  </r>
  <r>
    <x v="53"/>
    <x v="0"/>
    <s v="Yes"/>
    <s v="2"/>
    <x v="0"/>
    <s v="No"/>
    <n v="4116"/>
    <n v="1000"/>
    <n v="30"/>
    <n v="180"/>
    <x v="0"/>
    <x v="0"/>
    <x v="53"/>
    <x v="53"/>
    <x v="0"/>
  </r>
  <r>
    <x v="54"/>
    <x v="0"/>
    <s v="Yes"/>
    <s v="0"/>
    <x v="1"/>
    <s v="Yes"/>
    <n v="5293"/>
    <n v="0"/>
    <n v="92"/>
    <n v="360"/>
    <x v="0"/>
    <x v="0"/>
    <x v="54"/>
    <x v="54"/>
    <x v="0"/>
  </r>
  <r>
    <x v="55"/>
    <x v="0"/>
    <s v="No"/>
    <s v="0"/>
    <x v="0"/>
    <s v="No"/>
    <n v="2750"/>
    <n v="0"/>
    <n v="130"/>
    <n v="360"/>
    <x v="1"/>
    <x v="0"/>
    <x v="55"/>
    <x v="55"/>
    <x v="1"/>
  </r>
  <r>
    <x v="56"/>
    <x v="1"/>
    <s v="No"/>
    <s v="0"/>
    <x v="1"/>
    <s v="No"/>
    <n v="4402"/>
    <n v="0"/>
    <n v="130"/>
    <n v="360"/>
    <x v="0"/>
    <x v="2"/>
    <x v="56"/>
    <x v="56"/>
    <x v="0"/>
  </r>
  <r>
    <x v="57"/>
    <x v="0"/>
    <s v="Yes"/>
    <s v="2"/>
    <x v="0"/>
    <s v="No"/>
    <n v="3613"/>
    <n v="3539"/>
    <n v="134"/>
    <n v="180"/>
    <x v="0"/>
    <x v="1"/>
    <x v="57"/>
    <x v="57"/>
    <x v="0"/>
  </r>
  <r>
    <x v="58"/>
    <x v="1"/>
    <s v="Yes"/>
    <s v="2"/>
    <x v="0"/>
    <s v="No"/>
    <n v="2779"/>
    <n v="3664"/>
    <n v="176"/>
    <n v="360"/>
    <x v="1"/>
    <x v="1"/>
    <x v="58"/>
    <x v="58"/>
    <x v="1"/>
  </r>
  <r>
    <x v="59"/>
    <x v="0"/>
    <s v="Yes"/>
    <s v="3+"/>
    <x v="0"/>
    <s v="No"/>
    <n v="4720"/>
    <n v="0"/>
    <n v="90"/>
    <n v="180"/>
    <x v="0"/>
    <x v="1"/>
    <x v="59"/>
    <x v="59"/>
    <x v="0"/>
  </r>
  <r>
    <x v="60"/>
    <x v="0"/>
    <s v="Yes"/>
    <s v="0"/>
    <x v="1"/>
    <s v="No"/>
    <n v="2415"/>
    <n v="1721"/>
    <n v="110"/>
    <n v="360"/>
    <x v="0"/>
    <x v="1"/>
    <x v="60"/>
    <x v="60"/>
    <x v="0"/>
  </r>
  <r>
    <x v="61"/>
    <x v="0"/>
    <s v="Yes"/>
    <s v="0"/>
    <x v="0"/>
    <s v="Yes"/>
    <n v="7016"/>
    <n v="292"/>
    <n v="125"/>
    <n v="360"/>
    <x v="0"/>
    <x v="0"/>
    <x v="61"/>
    <x v="61"/>
    <x v="0"/>
  </r>
  <r>
    <x v="62"/>
    <x v="1"/>
    <s v="No"/>
    <s v="2"/>
    <x v="0"/>
    <s v="No"/>
    <n v="4968"/>
    <n v="0"/>
    <n v="189"/>
    <n v="360"/>
    <x v="0"/>
    <x v="1"/>
    <x v="62"/>
    <x v="62"/>
    <x v="0"/>
  </r>
  <r>
    <x v="63"/>
    <x v="1"/>
    <s v="No"/>
    <s v="0"/>
    <x v="0"/>
    <s v="No"/>
    <n v="2101"/>
    <n v="1500"/>
    <n v="108"/>
    <n v="360"/>
    <x v="1"/>
    <x v="2"/>
    <x v="63"/>
    <x v="63"/>
    <x v="1"/>
  </r>
  <r>
    <x v="64"/>
    <x v="0"/>
    <s v="Yes"/>
    <s v="3+"/>
    <x v="1"/>
    <s v="No"/>
    <n v="4490"/>
    <n v="0"/>
    <n v="125"/>
    <n v="360"/>
    <x v="0"/>
    <x v="0"/>
    <x v="64"/>
    <x v="64"/>
    <x v="0"/>
  </r>
  <r>
    <x v="65"/>
    <x v="0"/>
    <s v="Yes"/>
    <s v="0"/>
    <x v="0"/>
    <s v="No"/>
    <n v="2917"/>
    <n v="3583"/>
    <n v="138"/>
    <n v="360"/>
    <x v="0"/>
    <x v="1"/>
    <x v="65"/>
    <x v="65"/>
    <x v="0"/>
  </r>
  <r>
    <x v="66"/>
    <x v="0"/>
    <s v="Yes"/>
    <s v="0"/>
    <x v="1"/>
    <s v="No"/>
    <n v="4700"/>
    <n v="0"/>
    <n v="135"/>
    <n v="360"/>
    <x v="1"/>
    <x v="1"/>
    <x v="66"/>
    <x v="66"/>
    <x v="1"/>
  </r>
  <r>
    <x v="67"/>
    <x v="0"/>
    <s v="Yes"/>
    <s v="0"/>
    <x v="0"/>
    <s v="No"/>
    <n v="3445"/>
    <n v="0"/>
    <n v="130"/>
    <n v="360"/>
    <x v="1"/>
    <x v="1"/>
    <x v="67"/>
    <x v="67"/>
    <x v="1"/>
  </r>
  <r>
    <x v="68"/>
    <x v="0"/>
    <s v="Yes"/>
    <s v="0"/>
    <x v="0"/>
    <s v="No"/>
    <n v="7666"/>
    <n v="0"/>
    <n v="187"/>
    <n v="360"/>
    <x v="0"/>
    <x v="1"/>
    <x v="68"/>
    <x v="68"/>
    <x v="0"/>
  </r>
  <r>
    <x v="69"/>
    <x v="0"/>
    <s v="Yes"/>
    <s v="0"/>
    <x v="0"/>
    <s v="No"/>
    <n v="2458"/>
    <n v="5105"/>
    <n v="188"/>
    <n v="360"/>
    <x v="1"/>
    <x v="2"/>
    <x v="69"/>
    <x v="69"/>
    <x v="1"/>
  </r>
  <r>
    <x v="70"/>
    <x v="1"/>
    <s v="No"/>
    <s v="0"/>
    <x v="0"/>
    <s v="No"/>
    <n v="3250"/>
    <n v="0"/>
    <n v="95"/>
    <n v="360"/>
    <x v="0"/>
    <x v="1"/>
    <x v="70"/>
    <x v="70"/>
    <x v="0"/>
  </r>
  <r>
    <x v="71"/>
    <x v="0"/>
    <s v="No"/>
    <s v="0"/>
    <x v="0"/>
    <s v="No"/>
    <n v="4463"/>
    <n v="0"/>
    <n v="65"/>
    <n v="360"/>
    <x v="0"/>
    <x v="1"/>
    <x v="71"/>
    <x v="71"/>
    <x v="0"/>
  </r>
  <r>
    <x v="72"/>
    <x v="0"/>
    <s v="Yes"/>
    <s v="1"/>
    <x v="0"/>
    <s v="No"/>
    <n v="4083"/>
    <n v="1775"/>
    <n v="139"/>
    <n v="60"/>
    <x v="0"/>
    <x v="0"/>
    <x v="72"/>
    <x v="72"/>
    <x v="0"/>
  </r>
  <r>
    <x v="73"/>
    <x v="0"/>
    <s v="Yes"/>
    <s v="0"/>
    <x v="0"/>
    <s v="Yes"/>
    <n v="3900"/>
    <n v="2094"/>
    <n v="232"/>
    <n v="360"/>
    <x v="0"/>
    <x v="2"/>
    <x v="73"/>
    <x v="73"/>
    <x v="0"/>
  </r>
  <r>
    <x v="74"/>
    <x v="0"/>
    <s v="Yes"/>
    <s v="0"/>
    <x v="1"/>
    <s v="No"/>
    <n v="4750"/>
    <n v="3583"/>
    <n v="144"/>
    <n v="360"/>
    <x v="0"/>
    <x v="1"/>
    <x v="74"/>
    <x v="74"/>
    <x v="0"/>
  </r>
  <r>
    <x v="75"/>
    <x v="0"/>
    <s v="No"/>
    <s v="0"/>
    <x v="0"/>
    <s v="No"/>
    <n v="3583"/>
    <n v="3435"/>
    <n v="155"/>
    <n v="360"/>
    <x v="0"/>
    <x v="0"/>
    <x v="75"/>
    <x v="75"/>
    <x v="0"/>
  </r>
  <r>
    <x v="76"/>
    <x v="0"/>
    <s v="Yes"/>
    <s v="0"/>
    <x v="0"/>
    <s v="No"/>
    <n v="3189"/>
    <n v="2367"/>
    <n v="186"/>
    <n v="360"/>
    <x v="0"/>
    <x v="0"/>
    <x v="76"/>
    <x v="76"/>
    <x v="0"/>
  </r>
  <r>
    <x v="77"/>
    <x v="0"/>
    <s v="No"/>
    <s v="0"/>
    <x v="0"/>
    <s v="Yes"/>
    <n v="6356"/>
    <n v="0"/>
    <n v="50"/>
    <n v="360"/>
    <x v="0"/>
    <x v="2"/>
    <x v="77"/>
    <x v="77"/>
    <x v="0"/>
  </r>
  <r>
    <x v="78"/>
    <x v="0"/>
    <s v="Yes"/>
    <s v="1"/>
    <x v="0"/>
    <s v="No"/>
    <n v="3413"/>
    <n v="4053"/>
    <n v="125"/>
    <n v="360"/>
    <x v="0"/>
    <x v="1"/>
    <x v="78"/>
    <x v="78"/>
    <x v="0"/>
  </r>
  <r>
    <x v="79"/>
    <x v="1"/>
    <s v="Yes"/>
    <s v="0"/>
    <x v="0"/>
    <s v="No"/>
    <n v="7950"/>
    <n v="0"/>
    <n v="185"/>
    <n v="360"/>
    <x v="0"/>
    <x v="0"/>
    <x v="79"/>
    <x v="79"/>
    <x v="0"/>
  </r>
  <r>
    <x v="80"/>
    <x v="0"/>
    <s v="Yes"/>
    <s v="3+"/>
    <x v="0"/>
    <s v="No"/>
    <n v="3829"/>
    <n v="1103"/>
    <n v="163"/>
    <n v="360"/>
    <x v="1"/>
    <x v="0"/>
    <x v="80"/>
    <x v="80"/>
    <x v="1"/>
  </r>
  <r>
    <x v="81"/>
    <x v="0"/>
    <s v="Yes"/>
    <s v="3+"/>
    <x v="0"/>
    <s v="No"/>
    <n v="72529"/>
    <n v="0"/>
    <n v="360"/>
    <n v="360"/>
    <x v="0"/>
    <x v="0"/>
    <x v="81"/>
    <x v="81"/>
    <x v="0"/>
  </r>
  <r>
    <x v="82"/>
    <x v="0"/>
    <s v="Yes"/>
    <s v="2"/>
    <x v="1"/>
    <s v="No"/>
    <n v="4136"/>
    <n v="0"/>
    <n v="149"/>
    <n v="480"/>
    <x v="1"/>
    <x v="2"/>
    <x v="60"/>
    <x v="82"/>
    <x v="1"/>
  </r>
  <r>
    <x v="83"/>
    <x v="0"/>
    <s v="Yes"/>
    <s v="0"/>
    <x v="0"/>
    <s v="No"/>
    <n v="8449"/>
    <n v="0"/>
    <n v="257"/>
    <n v="360"/>
    <x v="0"/>
    <x v="2"/>
    <x v="82"/>
    <x v="83"/>
    <x v="0"/>
  </r>
  <r>
    <x v="84"/>
    <x v="0"/>
    <s v="Yes"/>
    <s v="0"/>
    <x v="0"/>
    <s v="No"/>
    <n v="4456"/>
    <n v="0"/>
    <n v="131"/>
    <n v="180"/>
    <x v="1"/>
    <x v="1"/>
    <x v="83"/>
    <x v="84"/>
    <x v="1"/>
  </r>
  <r>
    <x v="85"/>
    <x v="0"/>
    <s v="Yes"/>
    <s v="2"/>
    <x v="0"/>
    <s v="No"/>
    <n v="4635"/>
    <n v="8000"/>
    <n v="102"/>
    <n v="180"/>
    <x v="0"/>
    <x v="2"/>
    <x v="84"/>
    <x v="85"/>
    <x v="0"/>
  </r>
  <r>
    <x v="86"/>
    <x v="0"/>
    <s v="Yes"/>
    <s v="0"/>
    <x v="0"/>
    <s v="No"/>
    <n v="3571"/>
    <n v="1917"/>
    <n v="135"/>
    <n v="360"/>
    <x v="0"/>
    <x v="0"/>
    <x v="85"/>
    <x v="86"/>
    <x v="0"/>
  </r>
  <r>
    <x v="87"/>
    <x v="0"/>
    <s v="No"/>
    <s v="0"/>
    <x v="0"/>
    <s v="No"/>
    <n v="3066"/>
    <n v="0"/>
    <n v="95"/>
    <n v="360"/>
    <x v="0"/>
    <x v="1"/>
    <x v="86"/>
    <x v="87"/>
    <x v="0"/>
  </r>
  <r>
    <x v="88"/>
    <x v="0"/>
    <s v="No"/>
    <s v="2"/>
    <x v="1"/>
    <s v="No"/>
    <n v="3235"/>
    <n v="2015"/>
    <n v="77"/>
    <n v="360"/>
    <x v="0"/>
    <x v="1"/>
    <x v="87"/>
    <x v="88"/>
    <x v="0"/>
  </r>
  <r>
    <x v="89"/>
    <x v="1"/>
    <s v="No"/>
    <s v="0"/>
    <x v="0"/>
    <s v="No"/>
    <n v="5058"/>
    <n v="0"/>
    <n v="200"/>
    <n v="360"/>
    <x v="0"/>
    <x v="2"/>
    <x v="88"/>
    <x v="89"/>
    <x v="0"/>
  </r>
  <r>
    <x v="90"/>
    <x v="0"/>
    <s v="Yes"/>
    <s v="0"/>
    <x v="0"/>
    <s v="Yes"/>
    <n v="3188"/>
    <n v="2286"/>
    <n v="130"/>
    <n v="360"/>
    <x v="0"/>
    <x v="2"/>
    <x v="89"/>
    <x v="90"/>
    <x v="0"/>
  </r>
  <r>
    <x v="91"/>
    <x v="0"/>
    <s v="Yes"/>
    <s v="3+"/>
    <x v="0"/>
    <s v="No"/>
    <n v="13518"/>
    <n v="0"/>
    <n v="390"/>
    <n v="360"/>
    <x v="0"/>
    <x v="2"/>
    <x v="90"/>
    <x v="91"/>
    <x v="0"/>
  </r>
  <r>
    <x v="92"/>
    <x v="0"/>
    <s v="Yes"/>
    <s v="1"/>
    <x v="0"/>
    <s v="No"/>
    <n v="4364"/>
    <n v="2500"/>
    <n v="185"/>
    <n v="360"/>
    <x v="0"/>
    <x v="1"/>
    <x v="91"/>
    <x v="92"/>
    <x v="0"/>
  </r>
  <r>
    <x v="93"/>
    <x v="0"/>
    <s v="Yes"/>
    <s v="2"/>
    <x v="1"/>
    <s v="No"/>
    <n v="4766"/>
    <n v="1646"/>
    <n v="100"/>
    <n v="360"/>
    <x v="0"/>
    <x v="1"/>
    <x v="92"/>
    <x v="93"/>
    <x v="0"/>
  </r>
  <r>
    <x v="94"/>
    <x v="0"/>
    <s v="Yes"/>
    <s v="1"/>
    <x v="0"/>
    <s v="No"/>
    <n v="4609"/>
    <n v="2333"/>
    <n v="123"/>
    <n v="360"/>
    <x v="1"/>
    <x v="1"/>
    <x v="93"/>
    <x v="94"/>
    <x v="1"/>
  </r>
  <r>
    <x v="95"/>
    <x v="1"/>
    <s v="Yes"/>
    <s v="3+"/>
    <x v="0"/>
    <s v="No"/>
    <n v="6260"/>
    <n v="0"/>
    <n v="110"/>
    <n v="360"/>
    <x v="0"/>
    <x v="1"/>
    <x v="94"/>
    <x v="95"/>
    <x v="0"/>
  </r>
  <r>
    <x v="96"/>
    <x v="0"/>
    <s v="Yes"/>
    <s v="1"/>
    <x v="0"/>
    <s v="No"/>
    <n v="3333"/>
    <n v="4200"/>
    <n v="256"/>
    <n v="360"/>
    <x v="0"/>
    <x v="0"/>
    <x v="95"/>
    <x v="96"/>
    <x v="0"/>
  </r>
  <r>
    <x v="97"/>
    <x v="0"/>
    <s v="Yes"/>
    <s v="0"/>
    <x v="0"/>
    <s v="No"/>
    <n v="3500"/>
    <n v="3250"/>
    <n v="140"/>
    <n v="360"/>
    <x v="0"/>
    <x v="1"/>
    <x v="96"/>
    <x v="97"/>
    <x v="0"/>
  </r>
  <r>
    <x v="98"/>
    <x v="0"/>
    <s v="Yes"/>
    <s v="3+"/>
    <x v="0"/>
    <s v="No"/>
    <n v="9719"/>
    <n v="0"/>
    <n v="61"/>
    <n v="360"/>
    <x v="0"/>
    <x v="0"/>
    <x v="97"/>
    <x v="98"/>
    <x v="0"/>
  </r>
  <r>
    <x v="99"/>
    <x v="0"/>
    <s v="Yes"/>
    <s v="3+"/>
    <x v="0"/>
    <s v="No"/>
    <n v="6835"/>
    <n v="0"/>
    <n v="188"/>
    <n v="360"/>
    <x v="0"/>
    <x v="1"/>
    <x v="98"/>
    <x v="99"/>
    <x v="0"/>
  </r>
  <r>
    <x v="100"/>
    <x v="0"/>
    <s v="No"/>
    <s v="0"/>
    <x v="0"/>
    <s v="No"/>
    <n v="4452"/>
    <n v="0"/>
    <n v="131"/>
    <n v="360"/>
    <x v="0"/>
    <x v="2"/>
    <x v="99"/>
    <x v="100"/>
    <x v="0"/>
  </r>
  <r>
    <x v="101"/>
    <x v="1"/>
    <s v="Yes"/>
    <s v="0"/>
    <x v="0"/>
    <s v="No"/>
    <n v="2262"/>
    <n v="0"/>
    <n v="125"/>
    <n v="480"/>
    <x v="1"/>
    <x v="1"/>
    <x v="100"/>
    <x v="101"/>
    <x v="1"/>
  </r>
  <r>
    <x v="102"/>
    <x v="0"/>
    <s v="Yes"/>
    <s v="1"/>
    <x v="0"/>
    <s v="No"/>
    <n v="3901"/>
    <n v="0"/>
    <n v="116"/>
    <n v="360"/>
    <x v="0"/>
    <x v="0"/>
    <x v="101"/>
    <x v="102"/>
    <x v="0"/>
  </r>
  <r>
    <x v="103"/>
    <x v="0"/>
    <s v="Yes"/>
    <s v="2"/>
    <x v="1"/>
    <s v="No"/>
    <n v="2687"/>
    <n v="0"/>
    <n v="50"/>
    <n v="180"/>
    <x v="0"/>
    <x v="2"/>
    <x v="102"/>
    <x v="103"/>
    <x v="0"/>
  </r>
  <r>
    <x v="104"/>
    <x v="0"/>
    <s v="No"/>
    <s v="0"/>
    <x v="0"/>
    <s v="No"/>
    <n v="2243"/>
    <n v="2233"/>
    <n v="107"/>
    <n v="360"/>
    <x v="0"/>
    <x v="1"/>
    <x v="103"/>
    <x v="104"/>
    <x v="0"/>
  </r>
  <r>
    <x v="105"/>
    <x v="1"/>
    <s v="Yes"/>
    <s v="0"/>
    <x v="0"/>
    <s v="No"/>
    <n v="3417"/>
    <n v="1287"/>
    <n v="200"/>
    <n v="360"/>
    <x v="0"/>
    <x v="1"/>
    <x v="104"/>
    <x v="105"/>
    <x v="0"/>
  </r>
  <r>
    <x v="106"/>
    <x v="0"/>
    <s v="No"/>
    <s v="0"/>
    <x v="0"/>
    <s v="No"/>
    <n v="1596"/>
    <n v="1760"/>
    <n v="119"/>
    <n v="360"/>
    <x v="1"/>
    <x v="0"/>
    <x v="105"/>
    <x v="106"/>
    <x v="1"/>
  </r>
  <r>
    <x v="107"/>
    <x v="0"/>
    <s v="Yes"/>
    <s v="3+"/>
    <x v="0"/>
    <s v="No"/>
    <n v="4513"/>
    <n v="0"/>
    <n v="120"/>
    <n v="360"/>
    <x v="0"/>
    <x v="2"/>
    <x v="106"/>
    <x v="107"/>
    <x v="0"/>
  </r>
  <r>
    <x v="108"/>
    <x v="0"/>
    <s v="Yes"/>
    <s v="0"/>
    <x v="0"/>
    <s v="No"/>
    <n v="4500"/>
    <n v="0"/>
    <n v="140"/>
    <n v="360"/>
    <x v="0"/>
    <x v="1"/>
    <x v="107"/>
    <x v="108"/>
    <x v="0"/>
  </r>
  <r>
    <x v="109"/>
    <x v="0"/>
    <s v="Yes"/>
    <s v="0"/>
    <x v="1"/>
    <s v="No"/>
    <n v="4523"/>
    <n v="1350"/>
    <n v="165"/>
    <n v="360"/>
    <x v="0"/>
    <x v="0"/>
    <x v="108"/>
    <x v="109"/>
    <x v="0"/>
  </r>
  <r>
    <x v="110"/>
    <x v="1"/>
    <s v="No"/>
    <s v="0"/>
    <x v="0"/>
    <s v="Yes"/>
    <n v="4742"/>
    <n v="0"/>
    <n v="108"/>
    <n v="360"/>
    <x v="0"/>
    <x v="1"/>
    <x v="109"/>
    <x v="110"/>
    <x v="0"/>
  </r>
  <r>
    <x v="111"/>
    <x v="0"/>
    <s v="Yes"/>
    <s v="0"/>
    <x v="0"/>
    <s v="No"/>
    <n v="4082"/>
    <n v="0"/>
    <n v="93"/>
    <n v="360"/>
    <x v="0"/>
    <x v="1"/>
    <x v="110"/>
    <x v="111"/>
    <x v="0"/>
  </r>
  <r>
    <x v="112"/>
    <x v="1"/>
    <s v="No"/>
    <s v="0"/>
    <x v="0"/>
    <s v="No"/>
    <n v="3417"/>
    <n v="0"/>
    <n v="102"/>
    <n v="360"/>
    <x v="0"/>
    <x v="0"/>
    <x v="111"/>
    <x v="112"/>
    <x v="0"/>
  </r>
  <r>
    <x v="113"/>
    <x v="1"/>
    <s v="Yes"/>
    <s v="2"/>
    <x v="0"/>
    <s v="No"/>
    <n v="2922"/>
    <n v="3396"/>
    <n v="122"/>
    <n v="360"/>
    <x v="0"/>
    <x v="1"/>
    <x v="112"/>
    <x v="113"/>
    <x v="0"/>
  </r>
  <r>
    <x v="114"/>
    <x v="0"/>
    <s v="Yes"/>
    <s v="0"/>
    <x v="0"/>
    <s v="No"/>
    <n v="4167"/>
    <n v="4754"/>
    <n v="160"/>
    <n v="360"/>
    <x v="0"/>
    <x v="2"/>
    <x v="113"/>
    <x v="114"/>
    <x v="0"/>
  </r>
  <r>
    <x v="115"/>
    <x v="0"/>
    <s v="No"/>
    <s v="3+"/>
    <x v="0"/>
    <s v="No"/>
    <n v="4243"/>
    <n v="4123"/>
    <n v="157"/>
    <n v="360"/>
    <x v="0"/>
    <x v="1"/>
    <x v="114"/>
    <x v="115"/>
    <x v="0"/>
  </r>
  <r>
    <x v="116"/>
    <x v="1"/>
    <s v="No"/>
    <s v="0"/>
    <x v="1"/>
    <s v="No"/>
    <n v="0"/>
    <n v="1760"/>
    <n v="180"/>
    <n v="360"/>
    <x v="0"/>
    <x v="1"/>
    <x v="115"/>
    <x v="116"/>
    <x v="0"/>
  </r>
  <r>
    <x v="117"/>
    <x v="0"/>
    <s v="Yes"/>
    <s v="1"/>
    <x v="0"/>
    <s v="No"/>
    <n v="1516"/>
    <n v="2900"/>
    <n v="80"/>
    <n v="360"/>
    <x v="1"/>
    <x v="2"/>
    <x v="116"/>
    <x v="117"/>
    <x v="1"/>
  </r>
  <r>
    <x v="118"/>
    <x v="1"/>
    <s v="No"/>
    <s v="0"/>
    <x v="0"/>
    <s v="No"/>
    <n v="1762"/>
    <n v="2666"/>
    <n v="104"/>
    <n v="360"/>
    <x v="1"/>
    <x v="0"/>
    <x v="117"/>
    <x v="118"/>
    <x v="1"/>
  </r>
  <r>
    <x v="119"/>
    <x v="0"/>
    <s v="Yes"/>
    <s v="2"/>
    <x v="0"/>
    <s v="No"/>
    <n v="724"/>
    <n v="3510"/>
    <n v="213"/>
    <n v="360"/>
    <x v="1"/>
    <x v="2"/>
    <x v="118"/>
    <x v="119"/>
    <x v="1"/>
  </r>
  <r>
    <x v="120"/>
    <x v="0"/>
    <s v="No"/>
    <s v="0"/>
    <x v="0"/>
    <s v="No"/>
    <n v="3125"/>
    <n v="0"/>
    <n v="65"/>
    <n v="360"/>
    <x v="0"/>
    <x v="0"/>
    <x v="119"/>
    <x v="120"/>
    <x v="0"/>
  </r>
  <r>
    <x v="121"/>
    <x v="0"/>
    <s v="Yes"/>
    <s v="0"/>
    <x v="0"/>
    <s v="No"/>
    <n v="2333"/>
    <n v="3803"/>
    <n v="146"/>
    <n v="360"/>
    <x v="0"/>
    <x v="2"/>
    <x v="120"/>
    <x v="121"/>
    <x v="0"/>
  </r>
  <r>
    <x v="122"/>
    <x v="0"/>
    <s v="Yes"/>
    <s v="3+"/>
    <x v="0"/>
    <s v="No"/>
    <n v="3350"/>
    <n v="1560"/>
    <n v="135"/>
    <n v="360"/>
    <x v="0"/>
    <x v="0"/>
    <x v="121"/>
    <x v="122"/>
    <x v="0"/>
  </r>
  <r>
    <x v="123"/>
    <x v="0"/>
    <s v="No"/>
    <s v="0"/>
    <x v="0"/>
    <s v="No"/>
    <n v="2500"/>
    <n v="6414"/>
    <n v="187"/>
    <n v="360"/>
    <x v="1"/>
    <x v="2"/>
    <x v="122"/>
    <x v="123"/>
    <x v="1"/>
  </r>
  <r>
    <x v="124"/>
    <x v="1"/>
    <s v="No"/>
    <s v="0"/>
    <x v="0"/>
    <s v="No"/>
    <n v="12500"/>
    <n v="0"/>
    <n v="300"/>
    <n v="360"/>
    <x v="1"/>
    <x v="0"/>
    <x v="123"/>
    <x v="124"/>
    <x v="1"/>
  </r>
  <r>
    <x v="125"/>
    <x v="0"/>
    <s v="No"/>
    <s v="0"/>
    <x v="0"/>
    <s v="No"/>
    <n v="4667"/>
    <n v="0"/>
    <n v="120"/>
    <n v="360"/>
    <x v="0"/>
    <x v="1"/>
    <x v="124"/>
    <x v="125"/>
    <x v="0"/>
  </r>
  <r>
    <x v="126"/>
    <x v="0"/>
    <s v="No"/>
    <s v="0"/>
    <x v="0"/>
    <s v="No"/>
    <n v="6500"/>
    <n v="0"/>
    <n v="71"/>
    <n v="360"/>
    <x v="1"/>
    <x v="0"/>
    <x v="65"/>
    <x v="126"/>
    <x v="1"/>
  </r>
  <r>
    <x v="127"/>
    <x v="0"/>
    <s v="Yes"/>
    <s v="2"/>
    <x v="0"/>
    <s v="No"/>
    <n v="7500"/>
    <n v="0"/>
    <n v="225"/>
    <n v="360"/>
    <x v="0"/>
    <x v="0"/>
    <x v="125"/>
    <x v="127"/>
    <x v="0"/>
  </r>
  <r>
    <x v="128"/>
    <x v="0"/>
    <s v="No"/>
    <s v="0"/>
    <x v="0"/>
    <s v="No"/>
    <n v="3073"/>
    <n v="0"/>
    <n v="70"/>
    <n v="180"/>
    <x v="0"/>
    <x v="0"/>
    <x v="126"/>
    <x v="128"/>
    <x v="0"/>
  </r>
  <r>
    <x v="129"/>
    <x v="0"/>
    <s v="Yes"/>
    <s v="1"/>
    <x v="1"/>
    <s v="No"/>
    <n v="3321"/>
    <n v="2088"/>
    <n v="70"/>
    <n v="360"/>
    <x v="0"/>
    <x v="1"/>
    <x v="127"/>
    <x v="129"/>
    <x v="0"/>
  </r>
  <r>
    <x v="130"/>
    <x v="0"/>
    <s v="Yes"/>
    <s v="0"/>
    <x v="0"/>
    <s v="No"/>
    <n v="3333"/>
    <n v="1270"/>
    <n v="124"/>
    <n v="360"/>
    <x v="0"/>
    <x v="0"/>
    <x v="128"/>
    <x v="130"/>
    <x v="0"/>
  </r>
  <r>
    <x v="131"/>
    <x v="0"/>
    <s v="No"/>
    <s v="0"/>
    <x v="0"/>
    <s v="No"/>
    <n v="3391"/>
    <n v="0"/>
    <n v="132"/>
    <n v="360"/>
    <x v="0"/>
    <x v="2"/>
    <x v="129"/>
    <x v="131"/>
    <x v="0"/>
  </r>
  <r>
    <x v="132"/>
    <x v="0"/>
    <s v="Yes"/>
    <s v="1"/>
    <x v="0"/>
    <s v="Yes"/>
    <n v="3343"/>
    <n v="1517"/>
    <n v="105"/>
    <n v="360"/>
    <x v="0"/>
    <x v="2"/>
    <x v="130"/>
    <x v="132"/>
    <x v="0"/>
  </r>
  <r>
    <x v="133"/>
    <x v="1"/>
    <s v="No"/>
    <s v="1"/>
    <x v="0"/>
    <s v="No"/>
    <n v="3620"/>
    <n v="0"/>
    <n v="90"/>
    <n v="360"/>
    <x v="0"/>
    <x v="0"/>
    <x v="131"/>
    <x v="133"/>
    <x v="0"/>
  </r>
  <r>
    <x v="134"/>
    <x v="0"/>
    <s v="No"/>
    <s v="0"/>
    <x v="0"/>
    <s v="No"/>
    <n v="4000"/>
    <n v="0"/>
    <n v="83"/>
    <n v="84"/>
    <x v="0"/>
    <x v="0"/>
    <x v="132"/>
    <x v="134"/>
    <x v="0"/>
  </r>
  <r>
    <x v="135"/>
    <x v="0"/>
    <s v="Yes"/>
    <s v="0"/>
    <x v="0"/>
    <s v="No"/>
    <n v="4258"/>
    <n v="0"/>
    <n v="125"/>
    <n v="360"/>
    <x v="0"/>
    <x v="0"/>
    <x v="47"/>
    <x v="135"/>
    <x v="0"/>
  </r>
  <r>
    <x v="136"/>
    <x v="0"/>
    <s v="Yes"/>
    <s v="2"/>
    <x v="0"/>
    <s v="No"/>
    <n v="4500"/>
    <n v="0"/>
    <n v="147"/>
    <n v="360"/>
    <x v="0"/>
    <x v="2"/>
    <x v="107"/>
    <x v="136"/>
    <x v="0"/>
  </r>
  <r>
    <x v="137"/>
    <x v="0"/>
    <s v="Yes"/>
    <s v="1"/>
    <x v="0"/>
    <s v="No"/>
    <n v="2014"/>
    <n v="2925"/>
    <n v="120"/>
    <n v="360"/>
    <x v="0"/>
    <x v="2"/>
    <x v="133"/>
    <x v="137"/>
    <x v="0"/>
  </r>
  <r>
    <x v="138"/>
    <x v="0"/>
    <s v="No"/>
    <s v="0"/>
    <x v="0"/>
    <s v="No"/>
    <n v="3333"/>
    <n v="1250"/>
    <n v="110"/>
    <n v="360"/>
    <x v="0"/>
    <x v="1"/>
    <x v="134"/>
    <x v="138"/>
    <x v="0"/>
  </r>
  <r>
    <x v="139"/>
    <x v="1"/>
    <s v="No"/>
    <s v="3+"/>
    <x v="0"/>
    <s v="No"/>
    <n v="4083"/>
    <n v="0"/>
    <n v="103"/>
    <n v="360"/>
    <x v="0"/>
    <x v="1"/>
    <x v="135"/>
    <x v="139"/>
    <x v="0"/>
  </r>
  <r>
    <x v="140"/>
    <x v="0"/>
    <s v="No"/>
    <s v="0"/>
    <x v="0"/>
    <s v="No"/>
    <n v="4727"/>
    <n v="0"/>
    <n v="150"/>
    <n v="360"/>
    <x v="1"/>
    <x v="2"/>
    <x v="136"/>
    <x v="140"/>
    <x v="1"/>
  </r>
  <r>
    <x v="141"/>
    <x v="0"/>
    <s v="Yes"/>
    <s v="3+"/>
    <x v="0"/>
    <s v="No"/>
    <n v="3089"/>
    <n v="2999"/>
    <n v="100"/>
    <n v="240"/>
    <x v="0"/>
    <x v="2"/>
    <x v="137"/>
    <x v="141"/>
    <x v="0"/>
  </r>
  <r>
    <x v="142"/>
    <x v="0"/>
    <s v="Yes"/>
    <s v="3+"/>
    <x v="1"/>
    <s v="No"/>
    <n v="6794"/>
    <n v="528"/>
    <n v="139"/>
    <n v="360"/>
    <x v="1"/>
    <x v="0"/>
    <x v="138"/>
    <x v="142"/>
    <x v="1"/>
  </r>
  <r>
    <x v="143"/>
    <x v="0"/>
    <s v="Yes"/>
    <s v="0"/>
    <x v="0"/>
    <s v="Yes"/>
    <n v="32000"/>
    <n v="0"/>
    <n v="550"/>
    <n v="360"/>
    <x v="0"/>
    <x v="1"/>
    <x v="139"/>
    <x v="143"/>
    <x v="1"/>
  </r>
  <r>
    <x v="144"/>
    <x v="0"/>
    <s v="Yes"/>
    <s v="2"/>
    <x v="0"/>
    <s v="Yes"/>
    <n v="10890"/>
    <n v="0"/>
    <n v="260"/>
    <n v="12"/>
    <x v="0"/>
    <x v="2"/>
    <x v="140"/>
    <x v="144"/>
    <x v="0"/>
  </r>
  <r>
    <x v="145"/>
    <x v="1"/>
    <s v="No"/>
    <s v="0"/>
    <x v="0"/>
    <s v="No"/>
    <n v="12941"/>
    <n v="0"/>
    <n v="150"/>
    <n v="300"/>
    <x v="0"/>
    <x v="0"/>
    <x v="141"/>
    <x v="145"/>
    <x v="0"/>
  </r>
  <r>
    <x v="146"/>
    <x v="0"/>
    <s v="No"/>
    <s v="0"/>
    <x v="1"/>
    <s v="No"/>
    <n v="3276"/>
    <n v="0"/>
    <n v="90"/>
    <n v="360"/>
    <x v="0"/>
    <x v="1"/>
    <x v="4"/>
    <x v="146"/>
    <x v="0"/>
  </r>
  <r>
    <x v="147"/>
    <x v="0"/>
    <s v="No"/>
    <s v="0"/>
    <x v="1"/>
    <s v="Yes"/>
    <n v="8703"/>
    <n v="0"/>
    <n v="199"/>
    <n v="360"/>
    <x v="1"/>
    <x v="2"/>
    <x v="142"/>
    <x v="147"/>
    <x v="1"/>
  </r>
  <r>
    <x v="148"/>
    <x v="0"/>
    <s v="Yes"/>
    <s v="1"/>
    <x v="0"/>
    <s v="No"/>
    <n v="4742"/>
    <n v="717"/>
    <n v="139"/>
    <n v="360"/>
    <x v="0"/>
    <x v="1"/>
    <x v="143"/>
    <x v="148"/>
    <x v="0"/>
  </r>
  <r>
    <x v="149"/>
    <x v="0"/>
    <s v="No"/>
    <s v="0"/>
    <x v="0"/>
    <s v="No"/>
    <n v="5900"/>
    <n v="0"/>
    <n v="150"/>
    <n v="360"/>
    <x v="0"/>
    <x v="0"/>
    <x v="144"/>
    <x v="149"/>
    <x v="0"/>
  </r>
  <r>
    <x v="150"/>
    <x v="0"/>
    <s v="No"/>
    <s v="0"/>
    <x v="0"/>
    <s v="No"/>
    <n v="3071"/>
    <n v="4309"/>
    <n v="180"/>
    <n v="360"/>
    <x v="0"/>
    <x v="0"/>
    <x v="145"/>
    <x v="150"/>
    <x v="0"/>
  </r>
  <r>
    <x v="151"/>
    <x v="0"/>
    <s v="Yes"/>
    <s v="0"/>
    <x v="0"/>
    <s v="No"/>
    <n v="2783"/>
    <n v="1456"/>
    <n v="113"/>
    <n v="360"/>
    <x v="0"/>
    <x v="0"/>
    <x v="146"/>
    <x v="151"/>
    <x v="0"/>
  </r>
  <r>
    <x v="152"/>
    <x v="0"/>
    <s v="No"/>
    <s v="0"/>
    <x v="0"/>
    <s v="No"/>
    <n v="5000"/>
    <n v="0"/>
    <n v="148"/>
    <n v="360"/>
    <x v="0"/>
    <x v="2"/>
    <x v="147"/>
    <x v="152"/>
    <x v="0"/>
  </r>
  <r>
    <x v="153"/>
    <x v="0"/>
    <s v="Yes"/>
    <s v="1"/>
    <x v="1"/>
    <s v="No"/>
    <n v="2463"/>
    <n v="2360"/>
    <n v="117"/>
    <n v="360"/>
    <x v="1"/>
    <x v="0"/>
    <x v="148"/>
    <x v="153"/>
    <x v="1"/>
  </r>
  <r>
    <x v="154"/>
    <x v="0"/>
    <s v="Yes"/>
    <s v="2"/>
    <x v="0"/>
    <s v="No"/>
    <n v="4855"/>
    <n v="0"/>
    <n v="72"/>
    <n v="360"/>
    <x v="0"/>
    <x v="2"/>
    <x v="149"/>
    <x v="154"/>
    <x v="0"/>
  </r>
  <r>
    <x v="155"/>
    <x v="0"/>
    <s v="No"/>
    <s v="0"/>
    <x v="1"/>
    <s v="Yes"/>
    <n v="1599"/>
    <n v="2474"/>
    <n v="125"/>
    <n v="300"/>
    <x v="0"/>
    <x v="1"/>
    <x v="150"/>
    <x v="155"/>
    <x v="0"/>
  </r>
  <r>
    <x v="156"/>
    <x v="0"/>
    <s v="Yes"/>
    <s v="2"/>
    <x v="0"/>
    <s v="Yes"/>
    <n v="4246"/>
    <n v="4246"/>
    <n v="214"/>
    <n v="360"/>
    <x v="0"/>
    <x v="0"/>
    <x v="151"/>
    <x v="156"/>
    <x v="0"/>
  </r>
  <r>
    <x v="157"/>
    <x v="0"/>
    <s v="Yes"/>
    <s v="0"/>
    <x v="0"/>
    <s v="No"/>
    <n v="4333"/>
    <n v="2291"/>
    <n v="133"/>
    <n v="350"/>
    <x v="0"/>
    <x v="2"/>
    <x v="152"/>
    <x v="157"/>
    <x v="0"/>
  </r>
  <r>
    <x v="158"/>
    <x v="0"/>
    <s v="No"/>
    <s v="1"/>
    <x v="0"/>
    <s v="No"/>
    <n v="5823"/>
    <n v="2529"/>
    <n v="187"/>
    <n v="360"/>
    <x v="0"/>
    <x v="1"/>
    <x v="153"/>
    <x v="158"/>
    <x v="0"/>
  </r>
  <r>
    <x v="159"/>
    <x v="0"/>
    <s v="Yes"/>
    <s v="0"/>
    <x v="1"/>
    <s v="No"/>
    <n v="7895"/>
    <n v="0"/>
    <n v="143"/>
    <n v="360"/>
    <x v="0"/>
    <x v="2"/>
    <x v="154"/>
    <x v="159"/>
    <x v="0"/>
  </r>
  <r>
    <x v="160"/>
    <x v="0"/>
    <s v="No"/>
    <s v="0"/>
    <x v="0"/>
    <s v="No"/>
    <n v="4150"/>
    <n v="4256"/>
    <n v="209"/>
    <n v="360"/>
    <x v="0"/>
    <x v="2"/>
    <x v="155"/>
    <x v="160"/>
    <x v="0"/>
  </r>
  <r>
    <x v="161"/>
    <x v="0"/>
    <s v="No"/>
    <s v="0"/>
    <x v="0"/>
    <s v="No"/>
    <n v="2964"/>
    <n v="0"/>
    <n v="84"/>
    <n v="360"/>
    <x v="1"/>
    <x v="1"/>
    <x v="156"/>
    <x v="161"/>
    <x v="1"/>
  </r>
  <r>
    <x v="162"/>
    <x v="0"/>
    <s v="No"/>
    <s v="0"/>
    <x v="0"/>
    <s v="No"/>
    <n v="5583"/>
    <n v="0"/>
    <n v="116"/>
    <n v="360"/>
    <x v="0"/>
    <x v="0"/>
    <x v="157"/>
    <x v="162"/>
    <x v="0"/>
  </r>
  <r>
    <x v="163"/>
    <x v="1"/>
    <s v="No"/>
    <s v="0"/>
    <x v="0"/>
    <s v="No"/>
    <n v="2708"/>
    <n v="0"/>
    <n v="65"/>
    <n v="360"/>
    <x v="0"/>
    <x v="2"/>
    <x v="158"/>
    <x v="163"/>
    <x v="0"/>
  </r>
  <r>
    <x v="164"/>
    <x v="0"/>
    <s v="No"/>
    <s v="1"/>
    <x v="0"/>
    <s v="No"/>
    <n v="3180"/>
    <n v="2370"/>
    <n v="80"/>
    <n v="240"/>
    <x v="0"/>
    <x v="2"/>
    <x v="159"/>
    <x v="164"/>
    <x v="0"/>
  </r>
  <r>
    <x v="165"/>
    <x v="0"/>
    <s v="No"/>
    <s v="0"/>
    <x v="1"/>
    <s v="No"/>
    <n v="2268"/>
    <n v="0"/>
    <n v="170"/>
    <n v="360"/>
    <x v="1"/>
    <x v="1"/>
    <x v="160"/>
    <x v="165"/>
    <x v="1"/>
  </r>
  <r>
    <x v="166"/>
    <x v="0"/>
    <s v="No"/>
    <s v="2"/>
    <x v="1"/>
    <s v="No"/>
    <n v="1141"/>
    <n v="2017"/>
    <n v="120"/>
    <n v="360"/>
    <x v="1"/>
    <x v="0"/>
    <x v="161"/>
    <x v="166"/>
    <x v="1"/>
  </r>
  <r>
    <x v="167"/>
    <x v="0"/>
    <s v="Yes"/>
    <s v="0"/>
    <x v="0"/>
    <s v="No"/>
    <n v="3042"/>
    <n v="3167"/>
    <n v="135"/>
    <n v="360"/>
    <x v="0"/>
    <x v="0"/>
    <x v="162"/>
    <x v="167"/>
    <x v="0"/>
  </r>
  <r>
    <x v="168"/>
    <x v="1"/>
    <s v="Yes"/>
    <s v="3+"/>
    <x v="0"/>
    <s v="No"/>
    <n v="1750"/>
    <n v="2935"/>
    <n v="94"/>
    <n v="360"/>
    <x v="1"/>
    <x v="1"/>
    <x v="163"/>
    <x v="168"/>
    <x v="1"/>
  </r>
  <r>
    <x v="169"/>
    <x v="1"/>
    <s v="Yes"/>
    <s v="1"/>
    <x v="0"/>
    <s v="No"/>
    <n v="3564"/>
    <n v="0"/>
    <n v="79"/>
    <n v="360"/>
    <x v="0"/>
    <x v="2"/>
    <x v="164"/>
    <x v="169"/>
    <x v="0"/>
  </r>
  <r>
    <x v="170"/>
    <x v="1"/>
    <s v="No"/>
    <s v="0"/>
    <x v="0"/>
    <s v="No"/>
    <n v="3958"/>
    <n v="0"/>
    <n v="110"/>
    <n v="360"/>
    <x v="0"/>
    <x v="2"/>
    <x v="165"/>
    <x v="170"/>
    <x v="0"/>
  </r>
  <r>
    <x v="171"/>
    <x v="0"/>
    <s v="Yes"/>
    <s v="2"/>
    <x v="1"/>
    <s v="No"/>
    <n v="4483"/>
    <n v="0"/>
    <n v="130"/>
    <n v="360"/>
    <x v="0"/>
    <x v="2"/>
    <x v="166"/>
    <x v="171"/>
    <x v="0"/>
  </r>
  <r>
    <x v="172"/>
    <x v="0"/>
    <s v="Yes"/>
    <s v="0"/>
    <x v="0"/>
    <s v="No"/>
    <n v="5225"/>
    <n v="0"/>
    <n v="143"/>
    <n v="360"/>
    <x v="0"/>
    <x v="2"/>
    <x v="167"/>
    <x v="172"/>
    <x v="0"/>
  </r>
  <r>
    <x v="173"/>
    <x v="0"/>
    <s v="No"/>
    <s v="0"/>
    <x v="0"/>
    <s v="No"/>
    <n v="3017"/>
    <n v="2845"/>
    <n v="159"/>
    <n v="180"/>
    <x v="1"/>
    <x v="0"/>
    <x v="168"/>
    <x v="173"/>
    <x v="1"/>
  </r>
  <r>
    <x v="174"/>
    <x v="0"/>
    <s v="Yes"/>
    <s v="0"/>
    <x v="1"/>
    <s v="No"/>
    <n v="2431"/>
    <n v="1820"/>
    <n v="110"/>
    <n v="360"/>
    <x v="1"/>
    <x v="2"/>
    <x v="169"/>
    <x v="174"/>
    <x v="1"/>
  </r>
  <r>
    <x v="175"/>
    <x v="0"/>
    <s v="Yes"/>
    <s v="2"/>
    <x v="0"/>
    <s v="No"/>
    <n v="4912"/>
    <n v="4614"/>
    <n v="160"/>
    <n v="360"/>
    <x v="0"/>
    <x v="2"/>
    <x v="170"/>
    <x v="175"/>
    <x v="0"/>
  </r>
  <r>
    <x v="176"/>
    <x v="0"/>
    <s v="Yes"/>
    <s v="2"/>
    <x v="1"/>
    <s v="No"/>
    <n v="2500"/>
    <n v="3333"/>
    <n v="131"/>
    <n v="360"/>
    <x v="0"/>
    <x v="0"/>
    <x v="38"/>
    <x v="176"/>
    <x v="0"/>
  </r>
  <r>
    <x v="177"/>
    <x v="1"/>
    <s v="No"/>
    <s v="0"/>
    <x v="0"/>
    <s v="No"/>
    <n v="2918"/>
    <n v="0"/>
    <n v="65"/>
    <n v="360"/>
    <x v="0"/>
    <x v="2"/>
    <x v="171"/>
    <x v="177"/>
    <x v="0"/>
  </r>
  <r>
    <x v="178"/>
    <x v="0"/>
    <s v="Yes"/>
    <s v="2"/>
    <x v="0"/>
    <s v="No"/>
    <n v="5128"/>
    <n v="0"/>
    <n v="143"/>
    <n v="360"/>
    <x v="0"/>
    <x v="2"/>
    <x v="172"/>
    <x v="178"/>
    <x v="0"/>
  </r>
  <r>
    <x v="179"/>
    <x v="0"/>
    <s v="Yes"/>
    <s v="3+"/>
    <x v="0"/>
    <s v="No"/>
    <n v="15312"/>
    <n v="0"/>
    <n v="187"/>
    <n v="360"/>
    <x v="0"/>
    <x v="0"/>
    <x v="173"/>
    <x v="179"/>
    <x v="0"/>
  </r>
  <r>
    <x v="180"/>
    <x v="0"/>
    <s v="Yes"/>
    <s v="2"/>
    <x v="0"/>
    <s v="No"/>
    <n v="3958"/>
    <n v="2632"/>
    <n v="160"/>
    <n v="360"/>
    <x v="0"/>
    <x v="1"/>
    <x v="174"/>
    <x v="180"/>
    <x v="0"/>
  </r>
  <r>
    <x v="181"/>
    <x v="0"/>
    <s v="Yes"/>
    <s v="0"/>
    <x v="0"/>
    <s v="No"/>
    <n v="4334"/>
    <n v="2945"/>
    <n v="165"/>
    <n v="360"/>
    <x v="0"/>
    <x v="1"/>
    <x v="175"/>
    <x v="181"/>
    <x v="0"/>
  </r>
  <r>
    <x v="182"/>
    <x v="0"/>
    <s v="Yes"/>
    <s v="2"/>
    <x v="0"/>
    <s v="No"/>
    <n v="4358"/>
    <n v="0"/>
    <n v="110"/>
    <n v="360"/>
    <x v="0"/>
    <x v="0"/>
    <x v="176"/>
    <x v="182"/>
    <x v="0"/>
  </r>
  <r>
    <x v="183"/>
    <x v="1"/>
    <s v="Yes"/>
    <s v="1"/>
    <x v="0"/>
    <s v="No"/>
    <n v="4000"/>
    <n v="3917"/>
    <n v="173"/>
    <n v="360"/>
    <x v="0"/>
    <x v="2"/>
    <x v="177"/>
    <x v="183"/>
    <x v="0"/>
  </r>
  <r>
    <x v="184"/>
    <x v="0"/>
    <s v="Yes"/>
    <s v="3+"/>
    <x v="0"/>
    <s v="No"/>
    <n v="10166"/>
    <n v="750"/>
    <n v="150"/>
    <n v="360"/>
    <x v="0"/>
    <x v="0"/>
    <x v="178"/>
    <x v="184"/>
    <x v="0"/>
  </r>
  <r>
    <x v="185"/>
    <x v="0"/>
    <s v="Yes"/>
    <s v="0"/>
    <x v="1"/>
    <s v="No"/>
    <n v="4483"/>
    <n v="0"/>
    <n v="135"/>
    <n v="360"/>
    <x v="0"/>
    <x v="1"/>
    <x v="166"/>
    <x v="185"/>
    <x v="0"/>
  </r>
  <r>
    <x v="186"/>
    <x v="0"/>
    <s v="Yes"/>
    <s v="2"/>
    <x v="1"/>
    <s v="No"/>
    <n v="4521"/>
    <n v="1184"/>
    <n v="150"/>
    <n v="360"/>
    <x v="0"/>
    <x v="1"/>
    <x v="179"/>
    <x v="186"/>
    <x v="0"/>
  </r>
  <r>
    <x v="187"/>
    <x v="0"/>
    <s v="Yes"/>
    <s v="2"/>
    <x v="0"/>
    <s v="No"/>
    <n v="9167"/>
    <n v="0"/>
    <n v="235"/>
    <n v="360"/>
    <x v="0"/>
    <x v="1"/>
    <x v="180"/>
    <x v="187"/>
    <x v="0"/>
  </r>
  <r>
    <x v="188"/>
    <x v="0"/>
    <s v="Yes"/>
    <s v="0"/>
    <x v="1"/>
    <s v="No"/>
    <n v="13083"/>
    <n v="0"/>
    <n v="125"/>
    <n v="360"/>
    <x v="0"/>
    <x v="2"/>
    <x v="181"/>
    <x v="188"/>
    <x v="0"/>
  </r>
  <r>
    <x v="189"/>
    <x v="0"/>
    <s v="Yes"/>
    <s v="2"/>
    <x v="0"/>
    <s v="No"/>
    <n v="7874"/>
    <n v="3967"/>
    <n v="336"/>
    <n v="360"/>
    <x v="0"/>
    <x v="2"/>
    <x v="182"/>
    <x v="189"/>
    <x v="0"/>
  </r>
  <r>
    <x v="190"/>
    <x v="1"/>
    <s v="Yes"/>
    <s v="1"/>
    <x v="0"/>
    <s v="No"/>
    <n v="4333"/>
    <n v="0"/>
    <n v="132"/>
    <n v="84"/>
    <x v="0"/>
    <x v="2"/>
    <x v="51"/>
    <x v="190"/>
    <x v="0"/>
  </r>
  <r>
    <x v="191"/>
    <x v="0"/>
    <s v="No"/>
    <s v="0"/>
    <x v="0"/>
    <s v="No"/>
    <n v="4083"/>
    <n v="0"/>
    <n v="96"/>
    <n v="360"/>
    <x v="0"/>
    <x v="0"/>
    <x v="135"/>
    <x v="191"/>
    <x v="0"/>
  </r>
  <r>
    <x v="192"/>
    <x v="0"/>
    <s v="Yes"/>
    <s v="2"/>
    <x v="1"/>
    <s v="No"/>
    <n v="3785"/>
    <n v="2912"/>
    <n v="180"/>
    <n v="360"/>
    <x v="1"/>
    <x v="2"/>
    <x v="183"/>
    <x v="192"/>
    <x v="1"/>
  </r>
  <r>
    <x v="193"/>
    <x v="0"/>
    <s v="Yes"/>
    <s v="3+"/>
    <x v="1"/>
    <s v="No"/>
    <n v="2654"/>
    <n v="1998"/>
    <n v="128"/>
    <n v="360"/>
    <x v="1"/>
    <x v="2"/>
    <x v="184"/>
    <x v="193"/>
    <x v="1"/>
  </r>
  <r>
    <x v="194"/>
    <x v="0"/>
    <s v="Yes"/>
    <s v="1"/>
    <x v="0"/>
    <s v="No"/>
    <n v="10000"/>
    <n v="2690"/>
    <n v="412"/>
    <n v="360"/>
    <x v="0"/>
    <x v="1"/>
    <x v="185"/>
    <x v="194"/>
    <x v="0"/>
  </r>
  <r>
    <x v="195"/>
    <x v="0"/>
    <s v="No"/>
    <s v="0"/>
    <x v="0"/>
    <s v="Yes"/>
    <n v="5833"/>
    <n v="0"/>
    <n v="116"/>
    <n v="360"/>
    <x v="0"/>
    <x v="0"/>
    <x v="38"/>
    <x v="38"/>
    <x v="0"/>
  </r>
  <r>
    <x v="196"/>
    <x v="0"/>
    <s v="Yes"/>
    <s v="1"/>
    <x v="0"/>
    <s v="No"/>
    <n v="4796"/>
    <n v="0"/>
    <n v="114"/>
    <n v="360"/>
    <x v="1"/>
    <x v="1"/>
    <x v="186"/>
    <x v="195"/>
    <x v="1"/>
  </r>
  <r>
    <x v="197"/>
    <x v="0"/>
    <s v="Yes"/>
    <s v="0"/>
    <x v="1"/>
    <s v="No"/>
    <n v="2000"/>
    <n v="1600"/>
    <n v="115"/>
    <n v="360"/>
    <x v="0"/>
    <x v="2"/>
    <x v="187"/>
    <x v="196"/>
    <x v="0"/>
  </r>
  <r>
    <x v="198"/>
    <x v="0"/>
    <s v="Yes"/>
    <s v="2"/>
    <x v="0"/>
    <s v="No"/>
    <n v="2540"/>
    <n v="700"/>
    <n v="104"/>
    <n v="360"/>
    <x v="1"/>
    <x v="0"/>
    <x v="188"/>
    <x v="197"/>
    <x v="1"/>
  </r>
  <r>
    <x v="199"/>
    <x v="0"/>
    <s v="Yes"/>
    <s v="0"/>
    <x v="0"/>
    <s v="Yes"/>
    <n v="1900"/>
    <n v="1442"/>
    <n v="88"/>
    <n v="360"/>
    <x v="0"/>
    <x v="2"/>
    <x v="189"/>
    <x v="198"/>
    <x v="0"/>
  </r>
  <r>
    <x v="200"/>
    <x v="0"/>
    <s v="Yes"/>
    <s v="0"/>
    <x v="0"/>
    <s v="Yes"/>
    <n v="8706"/>
    <n v="0"/>
    <n v="108"/>
    <n v="480"/>
    <x v="0"/>
    <x v="2"/>
    <x v="190"/>
    <x v="199"/>
    <x v="0"/>
  </r>
  <r>
    <x v="201"/>
    <x v="0"/>
    <s v="Yes"/>
    <s v="3+"/>
    <x v="1"/>
    <s v="No"/>
    <n v="2855"/>
    <n v="542"/>
    <n v="90"/>
    <n v="360"/>
    <x v="0"/>
    <x v="0"/>
    <x v="191"/>
    <x v="200"/>
    <x v="0"/>
  </r>
  <r>
    <x v="202"/>
    <x v="0"/>
    <s v="Yes"/>
    <s v="0"/>
    <x v="0"/>
    <s v="No"/>
    <n v="3016"/>
    <n v="1300"/>
    <n v="100"/>
    <n v="360"/>
    <x v="0"/>
    <x v="0"/>
    <x v="192"/>
    <x v="201"/>
    <x v="0"/>
  </r>
  <r>
    <x v="203"/>
    <x v="1"/>
    <s v="Yes"/>
    <s v="0"/>
    <x v="0"/>
    <s v="No"/>
    <n v="3159"/>
    <n v="2374"/>
    <n v="108"/>
    <n v="360"/>
    <x v="0"/>
    <x v="1"/>
    <x v="193"/>
    <x v="202"/>
    <x v="0"/>
  </r>
  <r>
    <x v="204"/>
    <x v="1"/>
    <s v="No"/>
    <s v="0"/>
    <x v="0"/>
    <s v="No"/>
    <n v="1937"/>
    <n v="1152"/>
    <n v="78"/>
    <n v="360"/>
    <x v="0"/>
    <x v="1"/>
    <x v="194"/>
    <x v="203"/>
    <x v="0"/>
  </r>
  <r>
    <x v="205"/>
    <x v="0"/>
    <s v="Yes"/>
    <s v="0"/>
    <x v="0"/>
    <s v="No"/>
    <n v="2613"/>
    <n v="2417"/>
    <n v="123"/>
    <n v="360"/>
    <x v="0"/>
    <x v="1"/>
    <x v="195"/>
    <x v="204"/>
    <x v="0"/>
  </r>
  <r>
    <x v="206"/>
    <x v="0"/>
    <s v="Yes"/>
    <s v="1"/>
    <x v="0"/>
    <s v="No"/>
    <n v="4960"/>
    <n v="2600"/>
    <n v="187"/>
    <n v="360"/>
    <x v="0"/>
    <x v="1"/>
    <x v="196"/>
    <x v="205"/>
    <x v="0"/>
  </r>
  <r>
    <x v="207"/>
    <x v="0"/>
    <s v="Yes"/>
    <s v="1"/>
    <x v="0"/>
    <s v="No"/>
    <n v="3074"/>
    <n v="1083"/>
    <n v="146"/>
    <n v="360"/>
    <x v="0"/>
    <x v="1"/>
    <x v="197"/>
    <x v="206"/>
    <x v="0"/>
  </r>
  <r>
    <x v="208"/>
    <x v="1"/>
    <s v="No"/>
    <s v="0"/>
    <x v="0"/>
    <s v="No"/>
    <n v="4213"/>
    <n v="0"/>
    <n v="80"/>
    <n v="360"/>
    <x v="0"/>
    <x v="0"/>
    <x v="198"/>
    <x v="207"/>
    <x v="0"/>
  </r>
  <r>
    <x v="209"/>
    <x v="0"/>
    <s v="No"/>
    <s v="1"/>
    <x v="1"/>
    <s v="No"/>
    <n v="2038"/>
    <n v="4027"/>
    <n v="100"/>
    <n v="360"/>
    <x v="0"/>
    <x v="2"/>
    <x v="199"/>
    <x v="208"/>
    <x v="0"/>
  </r>
  <r>
    <x v="210"/>
    <x v="1"/>
    <s v="No"/>
    <s v="0"/>
    <x v="0"/>
    <s v="No"/>
    <n v="2362"/>
    <n v="0"/>
    <n v="55"/>
    <n v="360"/>
    <x v="0"/>
    <x v="0"/>
    <x v="200"/>
    <x v="209"/>
    <x v="0"/>
  </r>
  <r>
    <x v="211"/>
    <x v="0"/>
    <s v="No"/>
    <s v="0"/>
    <x v="0"/>
    <s v="No"/>
    <n v="5333"/>
    <n v="2400"/>
    <n v="200"/>
    <n v="360"/>
    <x v="1"/>
    <x v="2"/>
    <x v="201"/>
    <x v="210"/>
    <x v="1"/>
  </r>
  <r>
    <x v="212"/>
    <x v="0"/>
    <s v="Yes"/>
    <s v="3+"/>
    <x v="0"/>
    <s v="Yes"/>
    <n v="5384"/>
    <n v="0"/>
    <n v="150"/>
    <n v="360"/>
    <x v="0"/>
    <x v="1"/>
    <x v="202"/>
    <x v="211"/>
    <x v="0"/>
  </r>
  <r>
    <x v="213"/>
    <x v="0"/>
    <s v="No"/>
    <s v="0"/>
    <x v="0"/>
    <s v="No"/>
    <n v="5708"/>
    <n v="0"/>
    <n v="150"/>
    <n v="360"/>
    <x v="0"/>
    <x v="2"/>
    <x v="203"/>
    <x v="212"/>
    <x v="0"/>
  </r>
  <r>
    <x v="214"/>
    <x v="0"/>
    <s v="Yes"/>
    <s v="0"/>
    <x v="1"/>
    <s v="No"/>
    <n v="3754"/>
    <n v="3719"/>
    <n v="118"/>
    <n v="360"/>
    <x v="0"/>
    <x v="2"/>
    <x v="204"/>
    <x v="213"/>
    <x v="0"/>
  </r>
  <r>
    <x v="215"/>
    <x v="0"/>
    <s v="Yes"/>
    <s v="0"/>
    <x v="1"/>
    <s v="No"/>
    <n v="2914"/>
    <n v="2130"/>
    <n v="150"/>
    <n v="300"/>
    <x v="0"/>
    <x v="0"/>
    <x v="205"/>
    <x v="214"/>
    <x v="0"/>
  </r>
  <r>
    <x v="216"/>
    <x v="0"/>
    <s v="Yes"/>
    <s v="0"/>
    <x v="1"/>
    <s v="No"/>
    <n v="2747"/>
    <n v="2458"/>
    <n v="118"/>
    <n v="36"/>
    <x v="0"/>
    <x v="1"/>
    <x v="206"/>
    <x v="215"/>
    <x v="0"/>
  </r>
  <r>
    <x v="217"/>
    <x v="0"/>
    <s v="Yes"/>
    <s v="0"/>
    <x v="0"/>
    <s v="No"/>
    <n v="7830"/>
    <n v="2183"/>
    <n v="212"/>
    <n v="360"/>
    <x v="0"/>
    <x v="2"/>
    <x v="207"/>
    <x v="216"/>
    <x v="0"/>
  </r>
  <r>
    <x v="218"/>
    <x v="0"/>
    <s v="Yes"/>
    <s v="1"/>
    <x v="0"/>
    <s v="Yes"/>
    <n v="3507"/>
    <n v="3148"/>
    <n v="212"/>
    <n v="360"/>
    <x v="0"/>
    <x v="2"/>
    <x v="208"/>
    <x v="217"/>
    <x v="0"/>
  </r>
  <r>
    <x v="219"/>
    <x v="0"/>
    <s v="Yes"/>
    <s v="1"/>
    <x v="0"/>
    <s v="No"/>
    <n v="3747"/>
    <n v="2139"/>
    <n v="125"/>
    <n v="360"/>
    <x v="0"/>
    <x v="0"/>
    <x v="209"/>
    <x v="218"/>
    <x v="0"/>
  </r>
  <r>
    <x v="220"/>
    <x v="0"/>
    <s v="Yes"/>
    <s v="0"/>
    <x v="0"/>
    <s v="No"/>
    <n v="2166"/>
    <n v="2166"/>
    <n v="108"/>
    <n v="360"/>
    <x v="0"/>
    <x v="0"/>
    <x v="210"/>
    <x v="219"/>
    <x v="0"/>
  </r>
  <r>
    <x v="221"/>
    <x v="0"/>
    <s v="Yes"/>
    <s v="0"/>
    <x v="1"/>
    <s v="No"/>
    <n v="3500"/>
    <n v="2168"/>
    <n v="149"/>
    <n v="360"/>
    <x v="0"/>
    <x v="2"/>
    <x v="211"/>
    <x v="220"/>
    <x v="0"/>
  </r>
  <r>
    <x v="222"/>
    <x v="0"/>
    <s v="Yes"/>
    <s v="2"/>
    <x v="1"/>
    <s v="No"/>
    <n v="2896"/>
    <n v="0"/>
    <n v="80"/>
    <n v="480"/>
    <x v="0"/>
    <x v="0"/>
    <x v="212"/>
    <x v="221"/>
    <x v="0"/>
  </r>
  <r>
    <x v="223"/>
    <x v="1"/>
    <s v="No"/>
    <s v="1"/>
    <x v="0"/>
    <s v="No"/>
    <n v="5062"/>
    <n v="0"/>
    <n v="152"/>
    <n v="300"/>
    <x v="0"/>
    <x v="2"/>
    <x v="213"/>
    <x v="222"/>
    <x v="0"/>
  </r>
  <r>
    <x v="224"/>
    <x v="1"/>
    <s v="No"/>
    <s v="2"/>
    <x v="0"/>
    <s v="Yes"/>
    <n v="5184"/>
    <n v="0"/>
    <n v="187"/>
    <n v="360"/>
    <x v="1"/>
    <x v="1"/>
    <x v="214"/>
    <x v="223"/>
    <x v="1"/>
  </r>
  <r>
    <x v="225"/>
    <x v="1"/>
    <s v="No"/>
    <s v="0"/>
    <x v="0"/>
    <s v="No"/>
    <n v="2545"/>
    <n v="0"/>
    <n v="74"/>
    <n v="360"/>
    <x v="0"/>
    <x v="0"/>
    <x v="215"/>
    <x v="224"/>
    <x v="0"/>
  </r>
  <r>
    <x v="226"/>
    <x v="0"/>
    <s v="Yes"/>
    <s v="0"/>
    <x v="0"/>
    <s v="No"/>
    <n v="2553"/>
    <n v="1768"/>
    <n v="102"/>
    <n v="360"/>
    <x v="0"/>
    <x v="0"/>
    <x v="216"/>
    <x v="225"/>
    <x v="0"/>
  </r>
  <r>
    <x v="227"/>
    <x v="0"/>
    <s v="Yes"/>
    <s v="1"/>
    <x v="0"/>
    <s v="No"/>
    <n v="3436"/>
    <n v="3809"/>
    <n v="100"/>
    <n v="360"/>
    <x v="0"/>
    <x v="2"/>
    <x v="217"/>
    <x v="226"/>
    <x v="0"/>
  </r>
  <r>
    <x v="228"/>
    <x v="0"/>
    <s v="No"/>
    <s v="0"/>
    <x v="0"/>
    <s v="No"/>
    <n v="2412"/>
    <n v="2755"/>
    <n v="130"/>
    <n v="360"/>
    <x v="0"/>
    <x v="2"/>
    <x v="218"/>
    <x v="227"/>
    <x v="0"/>
  </r>
  <r>
    <x v="229"/>
    <x v="0"/>
    <s v="Yes"/>
    <s v="3+"/>
    <x v="1"/>
    <s v="No"/>
    <n v="5180"/>
    <n v="0"/>
    <n v="125"/>
    <n v="360"/>
    <x v="1"/>
    <x v="0"/>
    <x v="219"/>
    <x v="228"/>
    <x v="1"/>
  </r>
  <r>
    <x v="230"/>
    <x v="0"/>
    <s v="No"/>
    <s v="0"/>
    <x v="0"/>
    <s v="No"/>
    <n v="14911"/>
    <n v="14507"/>
    <n v="130"/>
    <n v="360"/>
    <x v="0"/>
    <x v="1"/>
    <x v="220"/>
    <x v="229"/>
    <x v="0"/>
  </r>
  <r>
    <x v="231"/>
    <x v="0"/>
    <s v="No"/>
    <s v="0"/>
    <x v="0"/>
    <s v="Yes"/>
    <n v="2860"/>
    <n v="2988"/>
    <n v="138"/>
    <n v="360"/>
    <x v="0"/>
    <x v="0"/>
    <x v="221"/>
    <x v="230"/>
    <x v="0"/>
  </r>
  <r>
    <x v="232"/>
    <x v="0"/>
    <s v="Yes"/>
    <s v="0"/>
    <x v="0"/>
    <s v="No"/>
    <n v="1173"/>
    <n v="1594"/>
    <n v="28"/>
    <n v="180"/>
    <x v="0"/>
    <x v="2"/>
    <x v="222"/>
    <x v="231"/>
    <x v="0"/>
  </r>
  <r>
    <x v="233"/>
    <x v="1"/>
    <s v="No"/>
    <s v="1"/>
    <x v="0"/>
    <s v="No"/>
    <n v="7600"/>
    <n v="0"/>
    <n v="92"/>
    <n v="360"/>
    <x v="0"/>
    <x v="1"/>
    <x v="223"/>
    <x v="232"/>
    <x v="0"/>
  </r>
  <r>
    <x v="234"/>
    <x v="1"/>
    <s v="Yes"/>
    <s v="0"/>
    <x v="0"/>
    <s v="No"/>
    <n v="2157"/>
    <n v="1788"/>
    <n v="104"/>
    <n v="360"/>
    <x v="0"/>
    <x v="0"/>
    <x v="224"/>
    <x v="233"/>
    <x v="0"/>
  </r>
  <r>
    <x v="235"/>
    <x v="0"/>
    <s v="No"/>
    <s v="0"/>
    <x v="0"/>
    <s v="No"/>
    <n v="2231"/>
    <n v="2774"/>
    <n v="176"/>
    <n v="360"/>
    <x v="1"/>
    <x v="0"/>
    <x v="225"/>
    <x v="234"/>
    <x v="1"/>
  </r>
  <r>
    <x v="236"/>
    <x v="1"/>
    <s v="No"/>
    <s v="0"/>
    <x v="0"/>
    <s v="No"/>
    <n v="2274"/>
    <n v="5211"/>
    <n v="117"/>
    <n v="360"/>
    <x v="1"/>
    <x v="1"/>
    <x v="226"/>
    <x v="235"/>
    <x v="1"/>
  </r>
  <r>
    <x v="237"/>
    <x v="0"/>
    <s v="Yes"/>
    <s v="2"/>
    <x v="1"/>
    <s v="No"/>
    <n v="6166"/>
    <n v="13983"/>
    <n v="102"/>
    <n v="360"/>
    <x v="0"/>
    <x v="2"/>
    <x v="227"/>
    <x v="236"/>
    <x v="0"/>
  </r>
  <r>
    <x v="238"/>
    <x v="0"/>
    <s v="Yes"/>
    <s v="2"/>
    <x v="1"/>
    <s v="No"/>
    <n v="2513"/>
    <n v="1110"/>
    <n v="107"/>
    <n v="360"/>
    <x v="0"/>
    <x v="1"/>
    <x v="228"/>
    <x v="237"/>
    <x v="0"/>
  </r>
  <r>
    <x v="239"/>
    <x v="0"/>
    <s v="No"/>
    <s v="0"/>
    <x v="0"/>
    <s v="No"/>
    <n v="4333"/>
    <n v="0"/>
    <n v="66"/>
    <n v="480"/>
    <x v="0"/>
    <x v="0"/>
    <x v="51"/>
    <x v="238"/>
    <x v="0"/>
  </r>
  <r>
    <x v="240"/>
    <x v="0"/>
    <s v="No"/>
    <s v="0"/>
    <x v="1"/>
    <s v="No"/>
    <n v="3844"/>
    <n v="0"/>
    <n v="105"/>
    <n v="360"/>
    <x v="0"/>
    <x v="0"/>
    <x v="229"/>
    <x v="239"/>
    <x v="0"/>
  </r>
  <r>
    <x v="241"/>
    <x v="0"/>
    <s v="Yes"/>
    <s v="0"/>
    <x v="0"/>
    <s v="No"/>
    <n v="3887"/>
    <n v="1517"/>
    <n v="105"/>
    <n v="360"/>
    <x v="1"/>
    <x v="1"/>
    <x v="230"/>
    <x v="240"/>
    <x v="1"/>
  </r>
  <r>
    <x v="242"/>
    <x v="0"/>
    <s v="Yes"/>
    <s v="0"/>
    <x v="0"/>
    <s v="No"/>
    <n v="3510"/>
    <n v="828"/>
    <n v="105"/>
    <n v="360"/>
    <x v="0"/>
    <x v="1"/>
    <x v="231"/>
    <x v="241"/>
    <x v="0"/>
  </r>
  <r>
    <x v="243"/>
    <x v="0"/>
    <s v="Yes"/>
    <s v="0"/>
    <x v="0"/>
    <s v="No"/>
    <n v="2539"/>
    <n v="1704"/>
    <n v="125"/>
    <n v="360"/>
    <x v="1"/>
    <x v="2"/>
    <x v="232"/>
    <x v="242"/>
    <x v="1"/>
  </r>
  <r>
    <x v="244"/>
    <x v="1"/>
    <s v="No"/>
    <s v="0"/>
    <x v="1"/>
    <s v="No"/>
    <n v="2107"/>
    <n v="0"/>
    <n v="64"/>
    <n v="360"/>
    <x v="0"/>
    <x v="1"/>
    <x v="233"/>
    <x v="243"/>
    <x v="0"/>
  </r>
  <r>
    <x v="245"/>
    <x v="0"/>
    <s v="Yes"/>
    <s v="0"/>
    <x v="0"/>
    <s v="No"/>
    <n v="3186"/>
    <n v="3145"/>
    <n v="150"/>
    <n v="180"/>
    <x v="1"/>
    <x v="1"/>
    <x v="234"/>
    <x v="244"/>
    <x v="1"/>
  </r>
  <r>
    <x v="246"/>
    <x v="0"/>
    <s v="Yes"/>
    <s v="2"/>
    <x v="0"/>
    <s v="Yes"/>
    <n v="5000"/>
    <n v="2166"/>
    <n v="150"/>
    <n v="360"/>
    <x v="0"/>
    <x v="0"/>
    <x v="235"/>
    <x v="245"/>
    <x v="0"/>
  </r>
  <r>
    <x v="247"/>
    <x v="0"/>
    <s v="Yes"/>
    <s v="0"/>
    <x v="0"/>
    <s v="No"/>
    <n v="10000"/>
    <n v="0"/>
    <n v="125"/>
    <n v="360"/>
    <x v="0"/>
    <x v="0"/>
    <x v="236"/>
    <x v="246"/>
    <x v="0"/>
  </r>
  <r>
    <x v="248"/>
    <x v="0"/>
    <s v="Yes"/>
    <s v="0"/>
    <x v="1"/>
    <s v="Yes"/>
    <n v="3943"/>
    <n v="0"/>
    <n v="64"/>
    <n v="360"/>
    <x v="0"/>
    <x v="1"/>
    <x v="237"/>
    <x v="247"/>
    <x v="0"/>
  </r>
  <r>
    <x v="249"/>
    <x v="0"/>
    <s v="No"/>
    <s v="0"/>
    <x v="0"/>
    <s v="No"/>
    <n v="2925"/>
    <n v="0"/>
    <n v="40"/>
    <n v="180"/>
    <x v="0"/>
    <x v="2"/>
    <x v="238"/>
    <x v="248"/>
    <x v="0"/>
  </r>
  <r>
    <x v="250"/>
    <x v="0"/>
    <s v="Yes"/>
    <s v="3+"/>
    <x v="0"/>
    <s v="No"/>
    <n v="3242"/>
    <n v="437"/>
    <n v="142"/>
    <n v="480"/>
    <x v="1"/>
    <x v="0"/>
    <x v="239"/>
    <x v="249"/>
    <x v="1"/>
  </r>
  <r>
    <x v="251"/>
    <x v="0"/>
    <s v="Yes"/>
    <s v="0"/>
    <x v="0"/>
    <s v="No"/>
    <n v="3863"/>
    <n v="0"/>
    <n v="70"/>
    <n v="300"/>
    <x v="0"/>
    <x v="1"/>
    <x v="240"/>
    <x v="250"/>
    <x v="0"/>
  </r>
  <r>
    <x v="252"/>
    <x v="1"/>
    <s v="No"/>
    <s v="1"/>
    <x v="0"/>
    <s v="No"/>
    <n v="4028"/>
    <n v="0"/>
    <n v="131"/>
    <n v="360"/>
    <x v="0"/>
    <x v="1"/>
    <x v="241"/>
    <x v="251"/>
    <x v="0"/>
  </r>
  <r>
    <x v="253"/>
    <x v="0"/>
    <s v="Yes"/>
    <s v="2"/>
    <x v="0"/>
    <s v="No"/>
    <n v="4010"/>
    <n v="1025"/>
    <n v="120"/>
    <n v="360"/>
    <x v="0"/>
    <x v="0"/>
    <x v="242"/>
    <x v="252"/>
    <x v="0"/>
  </r>
  <r>
    <x v="254"/>
    <x v="1"/>
    <s v="Yes"/>
    <s v="1"/>
    <x v="0"/>
    <s v="No"/>
    <n v="3719"/>
    <n v="1585"/>
    <n v="114"/>
    <n v="360"/>
    <x v="0"/>
    <x v="0"/>
    <x v="243"/>
    <x v="253"/>
    <x v="0"/>
  </r>
  <r>
    <x v="255"/>
    <x v="0"/>
    <s v="No"/>
    <s v="0"/>
    <x v="0"/>
    <s v="No"/>
    <n v="2858"/>
    <n v="0"/>
    <n v="123"/>
    <n v="360"/>
    <x v="1"/>
    <x v="2"/>
    <x v="244"/>
    <x v="254"/>
    <x v="1"/>
  </r>
  <r>
    <x v="256"/>
    <x v="1"/>
    <s v="Yes"/>
    <s v="0"/>
    <x v="0"/>
    <s v="No"/>
    <n v="3833"/>
    <n v="0"/>
    <n v="92"/>
    <n v="360"/>
    <x v="0"/>
    <x v="2"/>
    <x v="245"/>
    <x v="255"/>
    <x v="0"/>
  </r>
  <r>
    <x v="257"/>
    <x v="0"/>
    <s v="Yes"/>
    <s v="0"/>
    <x v="0"/>
    <s v="No"/>
    <n v="3333"/>
    <n v="4288"/>
    <n v="160"/>
    <n v="360"/>
    <x v="0"/>
    <x v="0"/>
    <x v="246"/>
    <x v="256"/>
    <x v="0"/>
  </r>
  <r>
    <x v="258"/>
    <x v="0"/>
    <s v="Yes"/>
    <s v="0"/>
    <x v="0"/>
    <s v="No"/>
    <n v="3007"/>
    <n v="3725"/>
    <n v="151"/>
    <n v="360"/>
    <x v="0"/>
    <x v="2"/>
    <x v="247"/>
    <x v="257"/>
    <x v="0"/>
  </r>
  <r>
    <x v="259"/>
    <x v="1"/>
    <s v="No"/>
    <s v="1"/>
    <x v="0"/>
    <s v="No"/>
    <n v="1850"/>
    <n v="4583"/>
    <n v="81"/>
    <n v="360"/>
    <x v="0"/>
    <x v="2"/>
    <x v="248"/>
    <x v="258"/>
    <x v="0"/>
  </r>
  <r>
    <x v="260"/>
    <x v="0"/>
    <s v="Yes"/>
    <s v="3+"/>
    <x v="1"/>
    <s v="No"/>
    <n v="2792"/>
    <n v="2619"/>
    <n v="171"/>
    <n v="360"/>
    <x v="0"/>
    <x v="1"/>
    <x v="249"/>
    <x v="259"/>
    <x v="0"/>
  </r>
  <r>
    <x v="261"/>
    <x v="0"/>
    <s v="Yes"/>
    <s v="0"/>
    <x v="0"/>
    <s v="No"/>
    <n v="2982"/>
    <n v="1550"/>
    <n v="110"/>
    <n v="360"/>
    <x v="0"/>
    <x v="1"/>
    <x v="250"/>
    <x v="260"/>
    <x v="0"/>
  </r>
  <r>
    <x v="262"/>
    <x v="0"/>
    <s v="No"/>
    <s v="0"/>
    <x v="0"/>
    <s v="No"/>
    <n v="3417"/>
    <n v="738"/>
    <n v="100"/>
    <n v="360"/>
    <x v="0"/>
    <x v="2"/>
    <x v="251"/>
    <x v="261"/>
    <x v="0"/>
  </r>
  <r>
    <x v="263"/>
    <x v="0"/>
    <s v="Yes"/>
    <s v="1"/>
    <x v="0"/>
    <s v="No"/>
    <n v="18840"/>
    <n v="0"/>
    <n v="234"/>
    <n v="360"/>
    <x v="0"/>
    <x v="2"/>
    <x v="252"/>
    <x v="262"/>
    <x v="0"/>
  </r>
  <r>
    <x v="264"/>
    <x v="0"/>
    <s v="Yes"/>
    <s v="2"/>
    <x v="0"/>
    <s v="No"/>
    <n v="2995"/>
    <n v="1120"/>
    <n v="184"/>
    <n v="360"/>
    <x v="0"/>
    <x v="2"/>
    <x v="253"/>
    <x v="263"/>
    <x v="0"/>
  </r>
  <r>
    <x v="265"/>
    <x v="0"/>
    <s v="No"/>
    <s v="0"/>
    <x v="0"/>
    <s v="No"/>
    <n v="3579"/>
    <n v="3308"/>
    <n v="138"/>
    <n v="360"/>
    <x v="0"/>
    <x v="1"/>
    <x v="254"/>
    <x v="264"/>
    <x v="0"/>
  </r>
  <r>
    <x v="266"/>
    <x v="1"/>
    <s v="Yes"/>
    <s v="1"/>
    <x v="1"/>
    <s v="No"/>
    <n v="3835"/>
    <n v="1400"/>
    <n v="112"/>
    <n v="480"/>
    <x v="1"/>
    <x v="0"/>
    <x v="255"/>
    <x v="265"/>
    <x v="1"/>
  </r>
  <r>
    <x v="267"/>
    <x v="1"/>
    <s v="No"/>
    <s v="1"/>
    <x v="1"/>
    <s v="No"/>
    <n v="3854"/>
    <n v="3575"/>
    <n v="117"/>
    <n v="360"/>
    <x v="0"/>
    <x v="2"/>
    <x v="256"/>
    <x v="266"/>
    <x v="0"/>
  </r>
  <r>
    <x v="268"/>
    <x v="0"/>
    <s v="Yes"/>
    <s v="2"/>
    <x v="0"/>
    <s v="No"/>
    <n v="5833"/>
    <n v="750"/>
    <n v="49"/>
    <n v="360"/>
    <x v="1"/>
    <x v="2"/>
    <x v="257"/>
    <x v="267"/>
    <x v="1"/>
  </r>
  <r>
    <x v="269"/>
    <x v="0"/>
    <s v="No"/>
    <s v="0"/>
    <x v="0"/>
    <s v="No"/>
    <n v="3508"/>
    <n v="0"/>
    <n v="99"/>
    <n v="360"/>
    <x v="0"/>
    <x v="2"/>
    <x v="20"/>
    <x v="268"/>
    <x v="0"/>
  </r>
  <r>
    <x v="270"/>
    <x v="1"/>
    <s v="Yes"/>
    <s v="3+"/>
    <x v="1"/>
    <s v="No"/>
    <n v="1635"/>
    <n v="2444"/>
    <n v="99"/>
    <n v="360"/>
    <x v="0"/>
    <x v="0"/>
    <x v="258"/>
    <x v="269"/>
    <x v="0"/>
  </r>
  <r>
    <x v="271"/>
    <x v="1"/>
    <s v="No"/>
    <s v="0"/>
    <x v="0"/>
    <s v="Yes"/>
    <n v="3333"/>
    <n v="3916"/>
    <n v="212"/>
    <n v="360"/>
    <x v="0"/>
    <x v="2"/>
    <x v="259"/>
    <x v="270"/>
    <x v="0"/>
  </r>
  <r>
    <x v="272"/>
    <x v="0"/>
    <s v="No"/>
    <s v="1"/>
    <x v="0"/>
    <s v="No"/>
    <n v="24797"/>
    <n v="0"/>
    <n v="240"/>
    <n v="360"/>
    <x v="0"/>
    <x v="1"/>
    <x v="260"/>
    <x v="271"/>
    <x v="0"/>
  </r>
  <r>
    <x v="273"/>
    <x v="0"/>
    <s v="Yes"/>
    <s v="2"/>
    <x v="0"/>
    <s v="No"/>
    <n v="5667"/>
    <n v="440"/>
    <n v="130"/>
    <n v="360"/>
    <x v="1"/>
    <x v="1"/>
    <x v="261"/>
    <x v="272"/>
    <x v="1"/>
  </r>
  <r>
    <x v="274"/>
    <x v="1"/>
    <s v="No"/>
    <s v="0"/>
    <x v="0"/>
    <s v="No"/>
    <n v="3500"/>
    <n v="0"/>
    <n v="94"/>
    <n v="360"/>
    <x v="1"/>
    <x v="1"/>
    <x v="262"/>
    <x v="273"/>
    <x v="1"/>
  </r>
  <r>
    <x v="275"/>
    <x v="0"/>
    <s v="Yes"/>
    <s v="3+"/>
    <x v="0"/>
    <s v="No"/>
    <n v="2773"/>
    <n v="1497"/>
    <n v="108"/>
    <n v="360"/>
    <x v="0"/>
    <x v="1"/>
    <x v="263"/>
    <x v="274"/>
    <x v="0"/>
  </r>
  <r>
    <x v="276"/>
    <x v="0"/>
    <s v="Yes"/>
    <s v="0"/>
    <x v="0"/>
    <s v="No"/>
    <n v="6500"/>
    <n v="0"/>
    <n v="144"/>
    <n v="360"/>
    <x v="0"/>
    <x v="0"/>
    <x v="65"/>
    <x v="275"/>
    <x v="0"/>
  </r>
  <r>
    <x v="277"/>
    <x v="1"/>
    <s v="No"/>
    <s v="0"/>
    <x v="0"/>
    <s v="No"/>
    <n v="5769"/>
    <n v="0"/>
    <n v="110"/>
    <n v="180"/>
    <x v="0"/>
    <x v="1"/>
    <x v="264"/>
    <x v="276"/>
    <x v="0"/>
  </r>
  <r>
    <x v="278"/>
    <x v="0"/>
    <s v="Yes"/>
    <s v="3+"/>
    <x v="1"/>
    <s v="No"/>
    <n v="3634"/>
    <n v="910"/>
    <n v="176"/>
    <n v="360"/>
    <x v="1"/>
    <x v="1"/>
    <x v="265"/>
    <x v="277"/>
    <x v="1"/>
  </r>
  <r>
    <x v="279"/>
    <x v="0"/>
    <s v="No"/>
    <s v="0"/>
    <x v="0"/>
    <s v="No"/>
    <n v="29167"/>
    <n v="0"/>
    <n v="185"/>
    <n v="360"/>
    <x v="0"/>
    <x v="1"/>
    <x v="266"/>
    <x v="278"/>
    <x v="0"/>
  </r>
  <r>
    <x v="280"/>
    <x v="0"/>
    <s v="No"/>
    <s v="0"/>
    <x v="0"/>
    <s v="No"/>
    <n v="2166"/>
    <n v="2057"/>
    <n v="122"/>
    <n v="360"/>
    <x v="0"/>
    <x v="1"/>
    <x v="267"/>
    <x v="279"/>
    <x v="0"/>
  </r>
  <r>
    <x v="281"/>
    <x v="0"/>
    <s v="Yes"/>
    <s v="0"/>
    <x v="0"/>
    <s v="No"/>
    <n v="5000"/>
    <n v="0"/>
    <n v="126"/>
    <n v="360"/>
    <x v="0"/>
    <x v="2"/>
    <x v="147"/>
    <x v="280"/>
    <x v="0"/>
  </r>
  <r>
    <x v="282"/>
    <x v="1"/>
    <s v="No"/>
    <s v="0"/>
    <x v="0"/>
    <s v="No"/>
    <n v="5530"/>
    <n v="0"/>
    <n v="135"/>
    <n v="360"/>
    <x v="0"/>
    <x v="0"/>
    <x v="268"/>
    <x v="281"/>
    <x v="0"/>
  </r>
  <r>
    <x v="283"/>
    <x v="0"/>
    <s v="No"/>
    <s v="0"/>
    <x v="1"/>
    <s v="No"/>
    <n v="9000"/>
    <n v="0"/>
    <n v="122"/>
    <n v="360"/>
    <x v="0"/>
    <x v="2"/>
    <x v="269"/>
    <x v="282"/>
    <x v="0"/>
  </r>
  <r>
    <x v="284"/>
    <x v="1"/>
    <s v="Yes"/>
    <s v="2"/>
    <x v="0"/>
    <s v="No"/>
    <n v="10000"/>
    <n v="11666"/>
    <n v="460"/>
    <n v="360"/>
    <x v="0"/>
    <x v="0"/>
    <x v="270"/>
    <x v="283"/>
    <x v="0"/>
  </r>
  <r>
    <x v="285"/>
    <x v="0"/>
    <s v="Yes"/>
    <s v="1"/>
    <x v="0"/>
    <s v="No"/>
    <n v="8750"/>
    <n v="0"/>
    <n v="297"/>
    <n v="360"/>
    <x v="0"/>
    <x v="0"/>
    <x v="271"/>
    <x v="284"/>
    <x v="0"/>
  </r>
  <r>
    <x v="286"/>
    <x v="0"/>
    <s v="Yes"/>
    <s v="0"/>
    <x v="1"/>
    <s v="No"/>
    <n v="2157"/>
    <n v="2730"/>
    <n v="140"/>
    <n v="360"/>
    <x v="0"/>
    <x v="2"/>
    <x v="272"/>
    <x v="285"/>
    <x v="0"/>
  </r>
  <r>
    <x v="287"/>
    <x v="0"/>
    <s v="No"/>
    <s v="0"/>
    <x v="0"/>
    <s v="No"/>
    <n v="1972"/>
    <n v="4347"/>
    <n v="106"/>
    <n v="360"/>
    <x v="0"/>
    <x v="2"/>
    <x v="273"/>
    <x v="286"/>
    <x v="0"/>
  </r>
  <r>
    <x v="288"/>
    <x v="0"/>
    <s v="No"/>
    <s v="0"/>
    <x v="0"/>
    <s v="No"/>
    <n v="4983"/>
    <n v="0"/>
    <n v="141"/>
    <n v="360"/>
    <x v="0"/>
    <x v="0"/>
    <x v="274"/>
    <x v="287"/>
    <x v="0"/>
  </r>
  <r>
    <x v="289"/>
    <x v="0"/>
    <s v="Yes"/>
    <s v="1"/>
    <x v="0"/>
    <s v="No"/>
    <n v="8333"/>
    <n v="4000"/>
    <n v="125"/>
    <n v="360"/>
    <x v="0"/>
    <x v="0"/>
    <x v="275"/>
    <x v="288"/>
    <x v="0"/>
  </r>
  <r>
    <x v="290"/>
    <x v="0"/>
    <s v="Yes"/>
    <s v="0"/>
    <x v="0"/>
    <s v="No"/>
    <n v="3667"/>
    <n v="2000"/>
    <n v="170"/>
    <n v="360"/>
    <x v="0"/>
    <x v="1"/>
    <x v="15"/>
    <x v="289"/>
    <x v="0"/>
  </r>
  <r>
    <x v="291"/>
    <x v="0"/>
    <s v="Yes"/>
    <s v="2"/>
    <x v="0"/>
    <s v="No"/>
    <n v="3166"/>
    <n v="2833"/>
    <n v="145"/>
    <n v="360"/>
    <x v="0"/>
    <x v="0"/>
    <x v="276"/>
    <x v="290"/>
    <x v="0"/>
  </r>
  <r>
    <x v="292"/>
    <x v="0"/>
    <s v="No"/>
    <s v="0"/>
    <x v="1"/>
    <s v="No"/>
    <n v="3271"/>
    <n v="0"/>
    <n v="90"/>
    <n v="360"/>
    <x v="0"/>
    <x v="2"/>
    <x v="277"/>
    <x v="291"/>
    <x v="0"/>
  </r>
  <r>
    <x v="293"/>
    <x v="1"/>
    <s v="Yes"/>
    <s v="0"/>
    <x v="0"/>
    <s v="No"/>
    <n v="2241"/>
    <n v="2000"/>
    <n v="88"/>
    <n v="360"/>
    <x v="1"/>
    <x v="0"/>
    <x v="278"/>
    <x v="292"/>
    <x v="1"/>
  </r>
  <r>
    <x v="294"/>
    <x v="0"/>
    <s v="Yes"/>
    <s v="1"/>
    <x v="1"/>
    <s v="No"/>
    <n v="1792"/>
    <n v="2565"/>
    <n v="128"/>
    <n v="360"/>
    <x v="0"/>
    <x v="0"/>
    <x v="279"/>
    <x v="293"/>
    <x v="0"/>
  </r>
  <r>
    <x v="295"/>
    <x v="1"/>
    <s v="Yes"/>
    <s v="0"/>
    <x v="0"/>
    <s v="No"/>
    <n v="2666"/>
    <n v="0"/>
    <n v="84"/>
    <n v="480"/>
    <x v="0"/>
    <x v="1"/>
    <x v="280"/>
    <x v="294"/>
    <x v="0"/>
  </r>
  <r>
    <x v="296"/>
    <x v="0"/>
    <s v="No"/>
    <s v="0"/>
    <x v="0"/>
    <s v="No"/>
    <n v="6478"/>
    <n v="0"/>
    <n v="108"/>
    <n v="360"/>
    <x v="0"/>
    <x v="1"/>
    <x v="281"/>
    <x v="295"/>
    <x v="0"/>
  </r>
  <r>
    <x v="297"/>
    <x v="0"/>
    <s v="No"/>
    <s v="0"/>
    <x v="1"/>
    <s v="No"/>
    <n v="3808"/>
    <n v="0"/>
    <n v="83"/>
    <n v="360"/>
    <x v="0"/>
    <x v="2"/>
    <x v="282"/>
    <x v="296"/>
    <x v="0"/>
  </r>
  <r>
    <x v="298"/>
    <x v="1"/>
    <s v="Yes"/>
    <s v="2"/>
    <x v="1"/>
    <s v="No"/>
    <n v="3729"/>
    <n v="0"/>
    <n v="117"/>
    <n v="360"/>
    <x v="0"/>
    <x v="1"/>
    <x v="283"/>
    <x v="297"/>
    <x v="0"/>
  </r>
  <r>
    <x v="299"/>
    <x v="0"/>
    <s v="Yes"/>
    <s v="2"/>
    <x v="0"/>
    <s v="No"/>
    <n v="4120"/>
    <n v="0"/>
    <n v="128"/>
    <n v="360"/>
    <x v="0"/>
    <x v="2"/>
    <x v="284"/>
    <x v="298"/>
    <x v="0"/>
  </r>
  <r>
    <x v="300"/>
    <x v="0"/>
    <s v="Yes"/>
    <s v="1"/>
    <x v="0"/>
    <s v="Yes"/>
    <n v="7500"/>
    <n v="0"/>
    <n v="75"/>
    <n v="360"/>
    <x v="0"/>
    <x v="0"/>
    <x v="125"/>
    <x v="299"/>
    <x v="0"/>
  </r>
  <r>
    <x v="301"/>
    <x v="0"/>
    <s v="Yes"/>
    <s v="1"/>
    <x v="0"/>
    <s v="No"/>
    <n v="6300"/>
    <n v="0"/>
    <n v="125"/>
    <n v="360"/>
    <x v="1"/>
    <x v="0"/>
    <x v="285"/>
    <x v="300"/>
    <x v="1"/>
  </r>
  <r>
    <x v="302"/>
    <x v="1"/>
    <s v="No"/>
    <s v="0"/>
    <x v="0"/>
    <s v="Yes"/>
    <n v="14987"/>
    <n v="0"/>
    <n v="177"/>
    <n v="360"/>
    <x v="0"/>
    <x v="2"/>
    <x v="286"/>
    <x v="301"/>
    <x v="0"/>
  </r>
  <r>
    <x v="303"/>
    <x v="0"/>
    <s v="Yes"/>
    <s v="1"/>
    <x v="1"/>
    <s v="Yes"/>
    <n v="570"/>
    <n v="2125"/>
    <n v="68"/>
    <n v="360"/>
    <x v="0"/>
    <x v="2"/>
    <x v="287"/>
    <x v="302"/>
    <x v="0"/>
  </r>
  <r>
    <x v="304"/>
    <x v="0"/>
    <s v="Yes"/>
    <s v="0"/>
    <x v="0"/>
    <s v="No"/>
    <n v="2600"/>
    <n v="700"/>
    <n v="96"/>
    <n v="360"/>
    <x v="0"/>
    <x v="1"/>
    <x v="288"/>
    <x v="303"/>
    <x v="0"/>
  </r>
  <r>
    <x v="305"/>
    <x v="0"/>
    <s v="No"/>
    <s v="2"/>
    <x v="1"/>
    <s v="No"/>
    <n v="2733"/>
    <n v="1083"/>
    <n v="180"/>
    <n v="360"/>
    <x v="0"/>
    <x v="1"/>
    <x v="289"/>
    <x v="304"/>
    <x v="0"/>
  </r>
  <r>
    <x v="306"/>
    <x v="0"/>
    <s v="Yes"/>
    <s v="2"/>
    <x v="0"/>
    <s v="Yes"/>
    <n v="7500"/>
    <n v="0"/>
    <n v="183"/>
    <n v="360"/>
    <x v="0"/>
    <x v="2"/>
    <x v="125"/>
    <x v="305"/>
    <x v="0"/>
  </r>
  <r>
    <x v="307"/>
    <x v="0"/>
    <s v="Yes"/>
    <s v="2"/>
    <x v="1"/>
    <s v="No"/>
    <n v="3859"/>
    <n v="0"/>
    <n v="121"/>
    <n v="360"/>
    <x v="0"/>
    <x v="2"/>
    <x v="290"/>
    <x v="306"/>
    <x v="0"/>
  </r>
  <r>
    <x v="308"/>
    <x v="0"/>
    <s v="Yes"/>
    <s v="1"/>
    <x v="0"/>
    <s v="No"/>
    <n v="6825"/>
    <n v="0"/>
    <n v="162"/>
    <n v="360"/>
    <x v="0"/>
    <x v="2"/>
    <x v="291"/>
    <x v="307"/>
    <x v="0"/>
  </r>
  <r>
    <x v="309"/>
    <x v="0"/>
    <s v="Yes"/>
    <s v="0"/>
    <x v="0"/>
    <s v="No"/>
    <n v="3708"/>
    <n v="4700"/>
    <n v="132"/>
    <n v="360"/>
    <x v="0"/>
    <x v="1"/>
    <x v="292"/>
    <x v="308"/>
    <x v="0"/>
  </r>
  <r>
    <x v="310"/>
    <x v="0"/>
    <s v="No"/>
    <s v="0"/>
    <x v="0"/>
    <s v="No"/>
    <n v="5314"/>
    <n v="0"/>
    <n v="147"/>
    <n v="360"/>
    <x v="0"/>
    <x v="0"/>
    <x v="293"/>
    <x v="309"/>
    <x v="0"/>
  </r>
  <r>
    <x v="311"/>
    <x v="1"/>
    <s v="No"/>
    <s v="3+"/>
    <x v="0"/>
    <s v="No"/>
    <n v="2366"/>
    <n v="5272"/>
    <n v="153"/>
    <n v="360"/>
    <x v="1"/>
    <x v="2"/>
    <x v="294"/>
    <x v="310"/>
    <x v="1"/>
  </r>
  <r>
    <x v="312"/>
    <x v="0"/>
    <s v="No"/>
    <s v="0"/>
    <x v="0"/>
    <s v="No"/>
    <n v="2066"/>
    <n v="2108"/>
    <n v="104"/>
    <n v="84"/>
    <x v="0"/>
    <x v="0"/>
    <x v="295"/>
    <x v="311"/>
    <x v="0"/>
  </r>
  <r>
    <x v="313"/>
    <x v="0"/>
    <s v="Yes"/>
    <s v="2"/>
    <x v="0"/>
    <s v="No"/>
    <n v="5000"/>
    <n v="0"/>
    <n v="149"/>
    <n v="360"/>
    <x v="0"/>
    <x v="2"/>
    <x v="147"/>
    <x v="312"/>
    <x v="0"/>
  </r>
  <r>
    <x v="314"/>
    <x v="1"/>
    <s v="No"/>
    <s v="0"/>
    <x v="0"/>
    <s v="No"/>
    <n v="3767"/>
    <n v="0"/>
    <n v="134"/>
    <n v="300"/>
    <x v="0"/>
    <x v="0"/>
    <x v="296"/>
    <x v="313"/>
    <x v="0"/>
  </r>
  <r>
    <x v="315"/>
    <x v="1"/>
    <s v="Yes"/>
    <s v="0"/>
    <x v="0"/>
    <s v="No"/>
    <n v="7859"/>
    <n v="879"/>
    <n v="165"/>
    <n v="180"/>
    <x v="0"/>
    <x v="1"/>
    <x v="297"/>
    <x v="314"/>
    <x v="0"/>
  </r>
  <r>
    <x v="316"/>
    <x v="1"/>
    <s v="Yes"/>
    <s v="0"/>
    <x v="0"/>
    <s v="No"/>
    <n v="4283"/>
    <n v="0"/>
    <n v="120"/>
    <n v="360"/>
    <x v="0"/>
    <x v="2"/>
    <x v="298"/>
    <x v="315"/>
    <x v="0"/>
  </r>
  <r>
    <x v="317"/>
    <x v="0"/>
    <s v="Yes"/>
    <s v="0"/>
    <x v="1"/>
    <s v="No"/>
    <n v="1700"/>
    <n v="2900"/>
    <n v="67"/>
    <n v="360"/>
    <x v="1"/>
    <x v="0"/>
    <x v="299"/>
    <x v="316"/>
    <x v="1"/>
  </r>
  <r>
    <x v="318"/>
    <x v="0"/>
    <s v="No"/>
    <s v="0"/>
    <x v="1"/>
    <s v="No"/>
    <n v="4768"/>
    <n v="0"/>
    <n v="125"/>
    <n v="360"/>
    <x v="0"/>
    <x v="2"/>
    <x v="300"/>
    <x v="317"/>
    <x v="0"/>
  </r>
  <r>
    <x v="319"/>
    <x v="0"/>
    <s v="No"/>
    <s v="0"/>
    <x v="0"/>
    <s v="No"/>
    <n v="3083"/>
    <n v="2738"/>
    <n v="120"/>
    <n v="360"/>
    <x v="0"/>
    <x v="0"/>
    <x v="301"/>
    <x v="318"/>
    <x v="0"/>
  </r>
  <r>
    <x v="320"/>
    <x v="0"/>
    <s v="Yes"/>
    <s v="1"/>
    <x v="0"/>
    <s v="No"/>
    <n v="2667"/>
    <n v="1542"/>
    <n v="148"/>
    <n v="360"/>
    <x v="0"/>
    <x v="2"/>
    <x v="302"/>
    <x v="319"/>
    <x v="0"/>
  </r>
  <r>
    <x v="321"/>
    <x v="1"/>
    <s v="Yes"/>
    <s v="0"/>
    <x v="1"/>
    <s v="No"/>
    <n v="1647"/>
    <n v="1762"/>
    <n v="181"/>
    <n v="360"/>
    <x v="0"/>
    <x v="0"/>
    <x v="303"/>
    <x v="320"/>
    <x v="0"/>
  </r>
  <r>
    <x v="322"/>
    <x v="0"/>
    <s v="Yes"/>
    <s v="3+"/>
    <x v="0"/>
    <s v="No"/>
    <n v="3400"/>
    <n v="0"/>
    <n v="80"/>
    <n v="120"/>
    <x v="0"/>
    <x v="0"/>
    <x v="304"/>
    <x v="321"/>
    <x v="0"/>
  </r>
  <r>
    <x v="323"/>
    <x v="0"/>
    <s v="No"/>
    <s v="1"/>
    <x v="0"/>
    <s v="No"/>
    <n v="16000"/>
    <n v="5000"/>
    <n v="40"/>
    <n v="360"/>
    <x v="0"/>
    <x v="1"/>
    <x v="305"/>
    <x v="322"/>
    <x v="0"/>
  </r>
  <r>
    <x v="324"/>
    <x v="0"/>
    <s v="Yes"/>
    <s v="0"/>
    <x v="0"/>
    <s v="No"/>
    <n v="5333"/>
    <n v="0"/>
    <n v="90"/>
    <n v="360"/>
    <x v="0"/>
    <x v="2"/>
    <x v="306"/>
    <x v="323"/>
    <x v="0"/>
  </r>
  <r>
    <x v="325"/>
    <x v="0"/>
    <s v="No"/>
    <s v="0"/>
    <x v="0"/>
    <s v="No"/>
    <n v="2875"/>
    <n v="2416"/>
    <n v="95"/>
    <n v="6"/>
    <x v="1"/>
    <x v="1"/>
    <x v="307"/>
    <x v="324"/>
    <x v="1"/>
  </r>
  <r>
    <x v="326"/>
    <x v="0"/>
    <s v="Yes"/>
    <s v="1"/>
    <x v="1"/>
    <s v="No"/>
    <n v="2600"/>
    <n v="618"/>
    <n v="122"/>
    <n v="360"/>
    <x v="0"/>
    <x v="1"/>
    <x v="308"/>
    <x v="325"/>
    <x v="0"/>
  </r>
  <r>
    <x v="327"/>
    <x v="0"/>
    <s v="Yes"/>
    <s v="2"/>
    <x v="0"/>
    <s v="No"/>
    <n v="5041"/>
    <n v="700"/>
    <n v="150"/>
    <n v="360"/>
    <x v="0"/>
    <x v="0"/>
    <x v="309"/>
    <x v="326"/>
    <x v="0"/>
  </r>
  <r>
    <x v="328"/>
    <x v="0"/>
    <s v="Yes"/>
    <s v="3+"/>
    <x v="0"/>
    <s v="Yes"/>
    <n v="6958"/>
    <n v="1411"/>
    <n v="150"/>
    <n v="360"/>
    <x v="0"/>
    <x v="2"/>
    <x v="310"/>
    <x v="327"/>
    <x v="0"/>
  </r>
  <r>
    <x v="329"/>
    <x v="0"/>
    <s v="Yes"/>
    <s v="1"/>
    <x v="0"/>
    <s v="No"/>
    <n v="3500"/>
    <n v="1658"/>
    <n v="104"/>
    <n v="360"/>
    <x v="0"/>
    <x v="1"/>
    <x v="311"/>
    <x v="328"/>
    <x v="0"/>
  </r>
  <r>
    <x v="330"/>
    <x v="0"/>
    <s v="Yes"/>
    <s v="0"/>
    <x v="0"/>
    <s v="No"/>
    <n v="5509"/>
    <n v="0"/>
    <n v="143"/>
    <n v="360"/>
    <x v="0"/>
    <x v="2"/>
    <x v="312"/>
    <x v="329"/>
    <x v="0"/>
  </r>
  <r>
    <x v="331"/>
    <x v="0"/>
    <s v="Yes"/>
    <s v="3+"/>
    <x v="0"/>
    <s v="No"/>
    <n v="9699"/>
    <n v="0"/>
    <n v="300"/>
    <n v="360"/>
    <x v="0"/>
    <x v="0"/>
    <x v="313"/>
    <x v="330"/>
    <x v="0"/>
  </r>
  <r>
    <x v="332"/>
    <x v="1"/>
    <s v="Yes"/>
    <s v="1"/>
    <x v="1"/>
    <s v="No"/>
    <n v="3621"/>
    <n v="2717"/>
    <n v="171"/>
    <n v="360"/>
    <x v="0"/>
    <x v="0"/>
    <x v="314"/>
    <x v="331"/>
    <x v="0"/>
  </r>
  <r>
    <x v="333"/>
    <x v="1"/>
    <s v="Yes"/>
    <s v="0"/>
    <x v="0"/>
    <s v="No"/>
    <n v="4709"/>
    <n v="0"/>
    <n v="113"/>
    <n v="360"/>
    <x v="0"/>
    <x v="1"/>
    <x v="315"/>
    <x v="332"/>
    <x v="0"/>
  </r>
  <r>
    <x v="334"/>
    <x v="0"/>
    <s v="Yes"/>
    <s v="0"/>
    <x v="0"/>
    <s v="No"/>
    <n v="1516"/>
    <n v="1951"/>
    <n v="35"/>
    <n v="360"/>
    <x v="0"/>
    <x v="1"/>
    <x v="316"/>
    <x v="333"/>
    <x v="0"/>
  </r>
  <r>
    <x v="335"/>
    <x v="0"/>
    <s v="No"/>
    <s v="2"/>
    <x v="0"/>
    <s v="No"/>
    <n v="2400"/>
    <n v="0"/>
    <n v="46"/>
    <n v="360"/>
    <x v="0"/>
    <x v="0"/>
    <x v="317"/>
    <x v="334"/>
    <x v="0"/>
  </r>
  <r>
    <x v="336"/>
    <x v="1"/>
    <s v="No"/>
    <s v="0"/>
    <x v="1"/>
    <s v="No"/>
    <n v="3015"/>
    <n v="2000"/>
    <n v="145"/>
    <n v="360"/>
    <x v="0"/>
    <x v="0"/>
    <x v="318"/>
    <x v="335"/>
    <x v="0"/>
  </r>
  <r>
    <x v="337"/>
    <x v="0"/>
    <s v="Yes"/>
    <s v="0"/>
    <x v="0"/>
    <s v="No"/>
    <n v="2292"/>
    <n v="1558"/>
    <n v="119"/>
    <n v="360"/>
    <x v="0"/>
    <x v="0"/>
    <x v="319"/>
    <x v="336"/>
    <x v="0"/>
  </r>
  <r>
    <x v="338"/>
    <x v="0"/>
    <s v="Yes"/>
    <s v="1"/>
    <x v="0"/>
    <s v="Yes"/>
    <n v="2360"/>
    <n v="3355"/>
    <n v="87"/>
    <n v="240"/>
    <x v="0"/>
    <x v="2"/>
    <x v="320"/>
    <x v="337"/>
    <x v="0"/>
  </r>
  <r>
    <x v="339"/>
    <x v="1"/>
    <s v="No"/>
    <s v="0"/>
    <x v="0"/>
    <s v="No"/>
    <n v="4333"/>
    <n v="2333"/>
    <n v="162"/>
    <n v="360"/>
    <x v="1"/>
    <x v="2"/>
    <x v="321"/>
    <x v="338"/>
    <x v="1"/>
  </r>
  <r>
    <x v="340"/>
    <x v="0"/>
    <s v="Yes"/>
    <s v="0"/>
    <x v="0"/>
    <s v="Yes"/>
    <n v="2623"/>
    <n v="4831"/>
    <n v="122"/>
    <n v="180"/>
    <x v="0"/>
    <x v="1"/>
    <x v="322"/>
    <x v="339"/>
    <x v="0"/>
  </r>
  <r>
    <x v="341"/>
    <x v="0"/>
    <s v="No"/>
    <s v="0"/>
    <x v="0"/>
    <s v="Yes"/>
    <n v="3972"/>
    <n v="4275"/>
    <n v="187"/>
    <n v="360"/>
    <x v="0"/>
    <x v="2"/>
    <x v="323"/>
    <x v="340"/>
    <x v="0"/>
  </r>
  <r>
    <x v="342"/>
    <x v="0"/>
    <s v="Yes"/>
    <s v="3+"/>
    <x v="1"/>
    <s v="No"/>
    <n v="3522"/>
    <n v="0"/>
    <n v="81"/>
    <n v="180"/>
    <x v="0"/>
    <x v="2"/>
    <x v="324"/>
    <x v="341"/>
    <x v="0"/>
  </r>
  <r>
    <x v="343"/>
    <x v="0"/>
    <s v="Yes"/>
    <s v="1"/>
    <x v="0"/>
    <s v="No"/>
    <n v="4700"/>
    <n v="0"/>
    <n v="80"/>
    <n v="360"/>
    <x v="0"/>
    <x v="0"/>
    <x v="66"/>
    <x v="342"/>
    <x v="0"/>
  </r>
  <r>
    <x v="344"/>
    <x v="0"/>
    <s v="No"/>
    <s v="0"/>
    <x v="0"/>
    <s v="No"/>
    <n v="6858"/>
    <n v="0"/>
    <n v="176"/>
    <n v="360"/>
    <x v="0"/>
    <x v="2"/>
    <x v="325"/>
    <x v="343"/>
    <x v="0"/>
  </r>
  <r>
    <x v="345"/>
    <x v="0"/>
    <s v="Yes"/>
    <s v="3+"/>
    <x v="0"/>
    <s v="No"/>
    <n v="8334"/>
    <n v="0"/>
    <n v="260"/>
    <n v="360"/>
    <x v="0"/>
    <x v="0"/>
    <x v="326"/>
    <x v="344"/>
    <x v="0"/>
  </r>
  <r>
    <x v="346"/>
    <x v="0"/>
    <s v="Yes"/>
    <s v="0"/>
    <x v="0"/>
    <s v="No"/>
    <n v="3391"/>
    <n v="1966"/>
    <n v="133"/>
    <n v="360"/>
    <x v="1"/>
    <x v="2"/>
    <x v="327"/>
    <x v="345"/>
    <x v="1"/>
  </r>
  <r>
    <x v="347"/>
    <x v="0"/>
    <s v="No"/>
    <s v="0"/>
    <x v="1"/>
    <s v="No"/>
    <n v="2868"/>
    <n v="0"/>
    <n v="70"/>
    <n v="360"/>
    <x v="0"/>
    <x v="0"/>
    <x v="328"/>
    <x v="346"/>
    <x v="0"/>
  </r>
  <r>
    <x v="348"/>
    <x v="0"/>
    <s v="Yes"/>
    <s v="2"/>
    <x v="1"/>
    <s v="No"/>
    <n v="3418"/>
    <n v="1380"/>
    <n v="135"/>
    <n v="360"/>
    <x v="0"/>
    <x v="0"/>
    <x v="329"/>
    <x v="347"/>
    <x v="0"/>
  </r>
  <r>
    <x v="349"/>
    <x v="0"/>
    <s v="Yes"/>
    <s v="0"/>
    <x v="0"/>
    <s v="Yes"/>
    <n v="2500"/>
    <n v="296"/>
    <n v="137"/>
    <n v="300"/>
    <x v="0"/>
    <x v="2"/>
    <x v="330"/>
    <x v="348"/>
    <x v="0"/>
  </r>
  <r>
    <x v="350"/>
    <x v="0"/>
    <s v="Yes"/>
    <s v="2"/>
    <x v="0"/>
    <s v="No"/>
    <n v="8667"/>
    <n v="0"/>
    <n v="254"/>
    <n v="360"/>
    <x v="0"/>
    <x v="2"/>
    <x v="331"/>
    <x v="349"/>
    <x v="0"/>
  </r>
  <r>
    <x v="351"/>
    <x v="0"/>
    <s v="No"/>
    <s v="0"/>
    <x v="0"/>
    <s v="No"/>
    <n v="2283"/>
    <n v="15000"/>
    <n v="106"/>
    <n v="360"/>
    <x v="0"/>
    <x v="2"/>
    <x v="332"/>
    <x v="350"/>
    <x v="0"/>
  </r>
  <r>
    <x v="352"/>
    <x v="0"/>
    <s v="Yes"/>
    <s v="0"/>
    <x v="0"/>
    <s v="No"/>
    <n v="5817"/>
    <n v="910"/>
    <n v="109"/>
    <n v="360"/>
    <x v="0"/>
    <x v="0"/>
    <x v="333"/>
    <x v="351"/>
    <x v="0"/>
  </r>
  <r>
    <x v="353"/>
    <x v="0"/>
    <s v="Yes"/>
    <s v="0"/>
    <x v="0"/>
    <s v="No"/>
    <n v="5119"/>
    <n v="3769"/>
    <n v="120"/>
    <n v="360"/>
    <x v="0"/>
    <x v="2"/>
    <x v="334"/>
    <x v="352"/>
    <x v="0"/>
  </r>
  <r>
    <x v="354"/>
    <x v="0"/>
    <s v="Yes"/>
    <s v="3+"/>
    <x v="1"/>
    <s v="No"/>
    <n v="5316"/>
    <n v="187"/>
    <n v="158"/>
    <n v="180"/>
    <x v="1"/>
    <x v="1"/>
    <x v="335"/>
    <x v="353"/>
    <x v="1"/>
  </r>
  <r>
    <x v="355"/>
    <x v="0"/>
    <s v="Yes"/>
    <s v="3+"/>
    <x v="0"/>
    <s v="No"/>
    <n v="7603"/>
    <n v="1213"/>
    <n v="197"/>
    <n v="360"/>
    <x v="0"/>
    <x v="0"/>
    <x v="336"/>
    <x v="354"/>
    <x v="0"/>
  </r>
  <r>
    <x v="356"/>
    <x v="0"/>
    <s v="Yes"/>
    <s v="1"/>
    <x v="0"/>
    <s v="No"/>
    <n v="3791"/>
    <n v="1936"/>
    <n v="85"/>
    <n v="360"/>
    <x v="0"/>
    <x v="0"/>
    <x v="337"/>
    <x v="355"/>
    <x v="0"/>
  </r>
  <r>
    <x v="357"/>
    <x v="0"/>
    <s v="No"/>
    <s v="0"/>
    <x v="0"/>
    <s v="No"/>
    <n v="2500"/>
    <n v="0"/>
    <n v="60"/>
    <n v="360"/>
    <x v="0"/>
    <x v="0"/>
    <x v="338"/>
    <x v="124"/>
    <x v="0"/>
  </r>
  <r>
    <x v="358"/>
    <x v="0"/>
    <s v="Yes"/>
    <s v="2"/>
    <x v="1"/>
    <s v="No"/>
    <n v="3132"/>
    <n v="0"/>
    <n v="76"/>
    <n v="360"/>
    <x v="0"/>
    <x v="2"/>
    <x v="339"/>
    <x v="356"/>
    <x v="0"/>
  </r>
  <r>
    <x v="359"/>
    <x v="0"/>
    <s v="No"/>
    <s v="0"/>
    <x v="0"/>
    <s v="No"/>
    <n v="4000"/>
    <n v="2667"/>
    <n v="152"/>
    <n v="360"/>
    <x v="0"/>
    <x v="1"/>
    <x v="340"/>
    <x v="357"/>
    <x v="0"/>
  </r>
  <r>
    <x v="360"/>
    <x v="1"/>
    <s v="Yes"/>
    <s v="0"/>
    <x v="0"/>
    <s v="No"/>
    <n v="8550"/>
    <n v="4255"/>
    <n v="96"/>
    <n v="360"/>
    <x v="0"/>
    <x v="0"/>
    <x v="341"/>
    <x v="358"/>
    <x v="0"/>
  </r>
  <r>
    <x v="361"/>
    <x v="0"/>
    <s v="Yes"/>
    <s v="1"/>
    <x v="0"/>
    <s v="No"/>
    <n v="2269"/>
    <n v="2167"/>
    <n v="99"/>
    <n v="360"/>
    <x v="0"/>
    <x v="1"/>
    <x v="342"/>
    <x v="359"/>
    <x v="0"/>
  </r>
  <r>
    <x v="362"/>
    <x v="0"/>
    <s v="Yes"/>
    <s v="3+"/>
    <x v="1"/>
    <s v="Yes"/>
    <n v="4009"/>
    <n v="1777"/>
    <n v="113"/>
    <n v="360"/>
    <x v="0"/>
    <x v="0"/>
    <x v="343"/>
    <x v="360"/>
    <x v="0"/>
  </r>
  <r>
    <x v="363"/>
    <x v="0"/>
    <s v="Yes"/>
    <s v="0"/>
    <x v="0"/>
    <s v="No"/>
    <n v="4158"/>
    <n v="709"/>
    <n v="115"/>
    <n v="360"/>
    <x v="0"/>
    <x v="0"/>
    <x v="344"/>
    <x v="361"/>
    <x v="0"/>
  </r>
  <r>
    <x v="364"/>
    <x v="0"/>
    <s v="No"/>
    <s v="0"/>
    <x v="0"/>
    <s v="No"/>
    <n v="3250"/>
    <n v="1993"/>
    <n v="126"/>
    <n v="360"/>
    <x v="0"/>
    <x v="1"/>
    <x v="345"/>
    <x v="362"/>
    <x v="0"/>
  </r>
  <r>
    <x v="365"/>
    <x v="0"/>
    <s v="Yes"/>
    <s v="0"/>
    <x v="0"/>
    <s v="No"/>
    <n v="5000"/>
    <n v="2393"/>
    <n v="158"/>
    <n v="360"/>
    <x v="0"/>
    <x v="2"/>
    <x v="346"/>
    <x v="363"/>
    <x v="0"/>
  </r>
  <r>
    <x v="366"/>
    <x v="0"/>
    <s v="No"/>
    <s v="0"/>
    <x v="0"/>
    <s v="Yes"/>
    <n v="9200"/>
    <n v="0"/>
    <n v="98"/>
    <n v="180"/>
    <x v="0"/>
    <x v="2"/>
    <x v="347"/>
    <x v="36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865D22-6D74-4B1A-AB33-EE32BED3E24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5" firstHeaderRow="1" firstDataRow="1" firstDataCol="1"/>
  <pivotFields count="15">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axis="axisRow" showAll="0">
      <items count="3">
        <item x="0"/>
        <item x="1"/>
        <item t="default"/>
      </items>
    </pivotField>
  </pivotFields>
  <rowFields count="1">
    <field x="14"/>
  </rowFields>
  <rowItems count="2">
    <i>
      <x/>
    </i>
    <i>
      <x v="1"/>
    </i>
  </rowItems>
  <colItems count="1">
    <i/>
  </colItems>
  <dataFields count="1">
    <dataField name="Count of Loan_ID" fld="0"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4" count="1" selected="0">
            <x v="0"/>
          </reference>
        </references>
      </pivotArea>
    </chartFormat>
    <chartFormat chart="6"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933912-B8FE-4C20-BA67-7AAAE5B6117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A3:B12" firstHeaderRow="1" firstDataRow="1" firstDataCol="1"/>
  <pivotFields count="15">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axis="axisRow" dataField="1" showAll="0">
      <items count="3">
        <item x="0"/>
        <item x="1"/>
        <item t="default"/>
      </items>
    </pivotField>
  </pivotFields>
  <rowFields count="2">
    <field x="11"/>
    <field x="14"/>
  </rowFields>
  <rowItems count="9">
    <i>
      <x/>
    </i>
    <i r="1">
      <x/>
    </i>
    <i r="1">
      <x v="1"/>
    </i>
    <i>
      <x v="1"/>
    </i>
    <i r="1">
      <x/>
    </i>
    <i r="1">
      <x v="1"/>
    </i>
    <i>
      <x v="2"/>
    </i>
    <i r="1">
      <x/>
    </i>
    <i r="1">
      <x v="1"/>
    </i>
  </rowItems>
  <colItems count="1">
    <i/>
  </colItems>
  <dataFields count="1">
    <dataField name="Count of Loan_Status_Predicted" fld="14" subtotal="count" baseField="0" baseItem="0"/>
  </dataFields>
  <chartFormats count="15">
    <chartFormat chart="29"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0"/>
          </reference>
        </references>
      </pivotArea>
    </chartFormat>
    <chartFormat chart="43" format="9">
      <pivotArea type="data" outline="0" fieldPosition="0">
        <references count="3">
          <reference field="4294967294" count="1" selected="0">
            <x v="0"/>
          </reference>
          <reference field="11" count="1" selected="0">
            <x v="0"/>
          </reference>
          <reference field="14" count="1" selected="0">
            <x v="0"/>
          </reference>
        </references>
      </pivotArea>
    </chartFormat>
    <chartFormat chart="43" format="10">
      <pivotArea type="data" outline="0" fieldPosition="0">
        <references count="3">
          <reference field="4294967294" count="1" selected="0">
            <x v="0"/>
          </reference>
          <reference field="11" count="1" selected="0">
            <x v="0"/>
          </reference>
          <reference field="14" count="1" selected="0">
            <x v="1"/>
          </reference>
        </references>
      </pivotArea>
    </chartFormat>
    <chartFormat chart="43" format="11">
      <pivotArea type="data" outline="0" fieldPosition="0">
        <references count="3">
          <reference field="4294967294" count="1" selected="0">
            <x v="0"/>
          </reference>
          <reference field="11" count="1" selected="0">
            <x v="1"/>
          </reference>
          <reference field="14" count="1" selected="0">
            <x v="0"/>
          </reference>
        </references>
      </pivotArea>
    </chartFormat>
    <chartFormat chart="43" format="12">
      <pivotArea type="data" outline="0" fieldPosition="0">
        <references count="3">
          <reference field="4294967294" count="1" selected="0">
            <x v="0"/>
          </reference>
          <reference field="11" count="1" selected="0">
            <x v="1"/>
          </reference>
          <reference field="14" count="1" selected="0">
            <x v="1"/>
          </reference>
        </references>
      </pivotArea>
    </chartFormat>
    <chartFormat chart="43" format="13">
      <pivotArea type="data" outline="0" fieldPosition="0">
        <references count="3">
          <reference field="4294967294" count="1" selected="0">
            <x v="0"/>
          </reference>
          <reference field="11" count="1" selected="0">
            <x v="2"/>
          </reference>
          <reference field="14" count="1" selected="0">
            <x v="0"/>
          </reference>
        </references>
      </pivotArea>
    </chartFormat>
    <chartFormat chart="43" format="14">
      <pivotArea type="data" outline="0" fieldPosition="0">
        <references count="3">
          <reference field="4294967294" count="1" selected="0">
            <x v="0"/>
          </reference>
          <reference field="11" count="1" selected="0">
            <x v="2"/>
          </reference>
          <reference field="14" count="1" selected="0">
            <x v="1"/>
          </reference>
        </references>
      </pivotArea>
    </chartFormat>
    <chartFormat chart="41" format="1">
      <pivotArea type="data" outline="0" fieldPosition="0">
        <references count="3">
          <reference field="4294967294" count="1" selected="0">
            <x v="0"/>
          </reference>
          <reference field="11" count="1" selected="0">
            <x v="0"/>
          </reference>
          <reference field="14" count="1" selected="0">
            <x v="0"/>
          </reference>
        </references>
      </pivotArea>
    </chartFormat>
    <chartFormat chart="41" format="2">
      <pivotArea type="data" outline="0" fieldPosition="0">
        <references count="3">
          <reference field="4294967294" count="1" selected="0">
            <x v="0"/>
          </reference>
          <reference field="11" count="1" selected="0">
            <x v="0"/>
          </reference>
          <reference field="14" count="1" selected="0">
            <x v="1"/>
          </reference>
        </references>
      </pivotArea>
    </chartFormat>
    <chartFormat chart="41" format="3">
      <pivotArea type="data" outline="0" fieldPosition="0">
        <references count="3">
          <reference field="4294967294" count="1" selected="0">
            <x v="0"/>
          </reference>
          <reference field="11" count="1" selected="0">
            <x v="1"/>
          </reference>
          <reference field="14" count="1" selected="0">
            <x v="0"/>
          </reference>
        </references>
      </pivotArea>
    </chartFormat>
    <chartFormat chart="41" format="4">
      <pivotArea type="data" outline="0" fieldPosition="0">
        <references count="3">
          <reference field="4294967294" count="1" selected="0">
            <x v="0"/>
          </reference>
          <reference field="11" count="1" selected="0">
            <x v="1"/>
          </reference>
          <reference field="14" count="1" selected="0">
            <x v="1"/>
          </reference>
        </references>
      </pivotArea>
    </chartFormat>
    <chartFormat chart="41" format="5">
      <pivotArea type="data" outline="0" fieldPosition="0">
        <references count="3">
          <reference field="4294967294" count="1" selected="0">
            <x v="0"/>
          </reference>
          <reference field="11" count="1" selected="0">
            <x v="2"/>
          </reference>
          <reference field="14" count="1" selected="0">
            <x v="0"/>
          </reference>
        </references>
      </pivotArea>
    </chartFormat>
    <chartFormat chart="41" format="6">
      <pivotArea type="data" outline="0" fieldPosition="0">
        <references count="3">
          <reference field="4294967294" count="1" selected="0">
            <x v="0"/>
          </reference>
          <reference field="11" count="1" selected="0">
            <x v="2"/>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58457A-FA7D-41B0-A3C7-2AAB2EFD321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D5" firstHeaderRow="0" firstDataRow="1" firstDataCol="1"/>
  <pivotFields count="15">
    <pivotField showAll="0"/>
    <pivotField axis="axisRow" showAll="0">
      <items count="3">
        <item x="1"/>
        <item x="0"/>
        <item t="default"/>
      </items>
    </pivotField>
    <pivotField showAll="0"/>
    <pivotField showAll="0"/>
    <pivotField showAll="0"/>
    <pivotField showAll="0"/>
    <pivotField dataField="1" showAll="0"/>
    <pivotField showAll="0"/>
    <pivotField dataField="1" showAll="0"/>
    <pivotField showAll="0"/>
    <pivotField showAll="0"/>
    <pivotField showAll="0">
      <items count="4">
        <item x="2"/>
        <item x="1"/>
        <item x="0"/>
        <item t="default"/>
      </items>
    </pivotField>
    <pivotField showAll="0"/>
    <pivotField dataField="1" showAll="0"/>
    <pivotField showAll="0">
      <items count="3">
        <item x="0"/>
        <item x="1"/>
        <item t="default"/>
      </items>
    </pivotField>
  </pivotFields>
  <rowFields count="1">
    <field x="1"/>
  </rowFields>
  <rowItems count="2">
    <i>
      <x/>
    </i>
    <i>
      <x v="1"/>
    </i>
  </rowItems>
  <colFields count="1">
    <field x="-2"/>
  </colFields>
  <colItems count="3">
    <i>
      <x/>
    </i>
    <i i="1">
      <x v="1"/>
    </i>
    <i i="2">
      <x v="2"/>
    </i>
  </colItems>
  <dataFields count="3">
    <dataField name="Average of ApplicantIncome" fld="6" subtotal="average" baseField="1" baseItem="0" numFmtId="2"/>
    <dataField name="Average of LoanAmount" fld="8" subtotal="average" baseField="1" baseItem="0" numFmtId="165"/>
    <dataField name="Average of Loan_Income_Ratio" fld="13" subtotal="average" baseField="1" baseItem="0"/>
  </dataFields>
  <formats count="3">
    <format dxfId="77">
      <pivotArea dataOnly="0" labelOnly="1" outline="0" axis="axisValues" fieldPosition="0"/>
    </format>
    <format dxfId="76">
      <pivotArea outline="0" collapsedLevelsAreSubtotals="1" fieldPosition="0"/>
    </format>
    <format dxfId="75">
      <pivotArea outline="0" collapsedLevelsAreSubtotals="1" fieldPosition="0">
        <references count="1">
          <reference field="4294967294" count="1" selected="0">
            <x v="1"/>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2"/>
          </reference>
        </references>
      </pivotArea>
    </chartFormat>
    <chartFormat chart="6" format="2"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8CAD04-DF02-4D1B-9813-F7BC127F3D5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B9" firstHeaderRow="1" firstDataRow="1" firstDataCol="1"/>
  <pivotFields count="15">
    <pivotField showAll="0"/>
    <pivotField showAll="0">
      <items count="3">
        <item x="1"/>
        <item x="0"/>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pivotField axis="axisRow" dataField="1" showAll="0">
      <items count="3">
        <item x="0"/>
        <item x="1"/>
        <item t="default"/>
      </items>
    </pivotField>
  </pivotFields>
  <rowFields count="2">
    <field x="4"/>
    <field x="14"/>
  </rowFields>
  <rowItems count="6">
    <i>
      <x/>
    </i>
    <i r="1">
      <x/>
    </i>
    <i r="1">
      <x v="1"/>
    </i>
    <i>
      <x v="1"/>
    </i>
    <i r="1">
      <x/>
    </i>
    <i r="1">
      <x v="1"/>
    </i>
  </rowItems>
  <colItems count="1">
    <i/>
  </colItems>
  <dataFields count="1">
    <dataField name="Count of Loan_Status_Predicted" fld="14" subtotal="count"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482B94-35F8-4D12-8726-C8C5BA2C2F2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370" firstHeaderRow="0" firstDataRow="1" firstDataCol="1"/>
  <pivotFields count="15">
    <pivotField axis="axisRow"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items count="4">
        <item x="2"/>
        <item x="1"/>
        <item x="0"/>
        <item t="default"/>
      </items>
    </pivotField>
    <pivotField dataField="1" showAll="0"/>
    <pivotField showAll="0"/>
    <pivotField showAll="0">
      <items count="3">
        <item x="0"/>
        <item x="1"/>
        <item t="default"/>
      </items>
    </pivotField>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rowItems>
  <colFields count="1">
    <field x="-2"/>
  </colFields>
  <colItems count="2">
    <i>
      <x/>
    </i>
    <i i="1">
      <x v="1"/>
    </i>
  </colItems>
  <dataFields count="2">
    <dataField name="Sum of LoanAmount" fld="8" baseField="0" baseItem="0"/>
    <dataField name="Sum of Total_Incom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F82488-45F9-4A8D-A207-54349FBD642F}" sourceName="Gender">
  <pivotTables>
    <pivotTable tabId="4" name="PivotTable2"/>
    <pivotTable tabId="12" name="PivotTable7"/>
    <pivotTable tabId="7" name="PivotTable4"/>
    <pivotTable tabId="6" name="PivotTable3"/>
    <pivotTable tabId="3" name="PivotTable1"/>
  </pivotTables>
  <data>
    <tabular pivotCacheId="91614179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Area" xr10:uid="{AE0FDDE0-7527-46A1-BF96-E51E93A0CE83}" sourceName="Property_Area">
  <pivotTables>
    <pivotTable tabId="4" name="PivotTable2"/>
    <pivotTable tabId="12" name="PivotTable7"/>
    <pivotTable tabId="7" name="PivotTable4"/>
    <pivotTable tabId="6" name="PivotTable3"/>
    <pivotTable tabId="3" name="PivotTable1"/>
  </pivotTables>
  <data>
    <tabular pivotCacheId="91614179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_Predicted" xr10:uid="{427C43E5-45A6-46A3-9DE7-819B956A463B}" sourceName="Loan_Status_Predicted">
  <pivotTables>
    <pivotTable tabId="4" name="PivotTable2"/>
    <pivotTable tabId="12" name="PivotTable7"/>
    <pivotTable tabId="7" name="PivotTable4"/>
    <pivotTable tabId="6" name="PivotTable3"/>
    <pivotTable tabId="3" name="PivotTable1"/>
  </pivotTables>
  <data>
    <tabular pivotCacheId="91614179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8BFFB8C-B81C-4923-8257-040FDDEBE084}" cache="Slicer_Gender" caption="Gender" rowHeight="241300"/>
  <slicer name="Property_Area" xr10:uid="{5D9A511A-9A7C-464D-ACA1-EE9BED22CBEA}" cache="Slicer_Property_Area" caption="Property_Area" rowHeight="241300"/>
  <slicer name="Loan_Status_Predicted" xr10:uid="{27A34F9F-32C8-4823-A0C3-20A93563B970}" cache="Slicer_Loan_Status_Predicted" caption="Loan_Status_Predict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3C21EC0-7C32-426F-8C81-629198DB792C}" cache="Slicer_Gender" caption="Gender" style="SlicerStyleOther1" rowHeight="241300"/>
  <slicer name="Property_Area 1" xr10:uid="{02B2A941-797C-40DB-B543-2CE969658C0A}" cache="Slicer_Property_Area" caption="Property_Area" style="SlicerStyleOther1" rowHeight="241300"/>
  <slicer name="Loan_Status_Predicted 1" xr10:uid="{B74F0993-5E77-41A7-9C6F-A8EEC1F63230}" cache="Slicer_Loan_Status_Predicted" caption="Loan_Status_Predicted"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F7D3-46C8-478C-AF57-E3FC7E61598D}">
  <dimension ref="A3:B12"/>
  <sheetViews>
    <sheetView workbookViewId="0">
      <selection activeCell="B8" sqref="B8"/>
    </sheetView>
  </sheetViews>
  <sheetFormatPr defaultRowHeight="14.5" x14ac:dyDescent="0.35"/>
  <cols>
    <col min="1" max="1" width="12.36328125" bestFit="1" customWidth="1"/>
    <col min="2" max="2" width="15.453125" bestFit="1" customWidth="1"/>
  </cols>
  <sheetData>
    <row r="3" spans="1:2" x14ac:dyDescent="0.35">
      <c r="A3" s="2" t="s">
        <v>395</v>
      </c>
      <c r="B3" t="s">
        <v>394</v>
      </c>
    </row>
    <row r="4" spans="1:2" x14ac:dyDescent="0.35">
      <c r="A4" s="3" t="s">
        <v>21</v>
      </c>
      <c r="B4" s="8">
        <v>307</v>
      </c>
    </row>
    <row r="5" spans="1:2" x14ac:dyDescent="0.35">
      <c r="A5" s="3" t="s">
        <v>33</v>
      </c>
      <c r="B5" s="8">
        <v>60</v>
      </c>
    </row>
    <row r="8" spans="1:2" x14ac:dyDescent="0.35">
      <c r="A8" t="s">
        <v>396</v>
      </c>
      <c r="B8" s="5">
        <f>B4/SUM(B4:B5) * 100</f>
        <v>83.651226158038156</v>
      </c>
    </row>
    <row r="12" spans="1:2" x14ac:dyDescent="0.35">
      <c r="A12" t="s">
        <v>398</v>
      </c>
      <c r="B12">
        <f>SUM(B4:B5)</f>
        <v>367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2780D-9B37-4857-A9C7-5552CC163329}">
  <dimension ref="A3:B12"/>
  <sheetViews>
    <sheetView workbookViewId="0">
      <selection activeCell="I23" sqref="I23"/>
    </sheetView>
  </sheetViews>
  <sheetFormatPr defaultRowHeight="14.5" x14ac:dyDescent="0.35"/>
  <cols>
    <col min="1" max="1" width="12.81640625" bestFit="1" customWidth="1"/>
    <col min="2" max="2" width="28.1796875" bestFit="1" customWidth="1"/>
    <col min="3" max="3" width="23.90625" bestFit="1" customWidth="1"/>
  </cols>
  <sheetData>
    <row r="3" spans="1:2" x14ac:dyDescent="0.35">
      <c r="A3" s="2" t="s">
        <v>395</v>
      </c>
      <c r="B3" t="s">
        <v>397</v>
      </c>
    </row>
    <row r="4" spans="1:2" x14ac:dyDescent="0.35">
      <c r="A4" s="3" t="s">
        <v>32</v>
      </c>
      <c r="B4" s="8">
        <v>111</v>
      </c>
    </row>
    <row r="5" spans="1:2" x14ac:dyDescent="0.35">
      <c r="A5" s="4" t="s">
        <v>21</v>
      </c>
      <c r="B5" s="8">
        <v>91</v>
      </c>
    </row>
    <row r="6" spans="1:2" x14ac:dyDescent="0.35">
      <c r="A6" s="4" t="s">
        <v>33</v>
      </c>
      <c r="B6" s="8">
        <v>20</v>
      </c>
    </row>
    <row r="7" spans="1:2" x14ac:dyDescent="0.35">
      <c r="A7" s="3" t="s">
        <v>30</v>
      </c>
      <c r="B7" s="8">
        <v>116</v>
      </c>
    </row>
    <row r="8" spans="1:2" x14ac:dyDescent="0.35">
      <c r="A8" s="4" t="s">
        <v>21</v>
      </c>
      <c r="B8" s="8">
        <v>94</v>
      </c>
    </row>
    <row r="9" spans="1:2" x14ac:dyDescent="0.35">
      <c r="A9" s="4" t="s">
        <v>33</v>
      </c>
      <c r="B9" s="8">
        <v>22</v>
      </c>
    </row>
    <row r="10" spans="1:2" x14ac:dyDescent="0.35">
      <c r="A10" s="3" t="s">
        <v>20</v>
      </c>
      <c r="B10" s="8">
        <v>140</v>
      </c>
    </row>
    <row r="11" spans="1:2" x14ac:dyDescent="0.35">
      <c r="A11" s="4" t="s">
        <v>21</v>
      </c>
      <c r="B11" s="8">
        <v>122</v>
      </c>
    </row>
    <row r="12" spans="1:2" x14ac:dyDescent="0.35">
      <c r="A12" s="4" t="s">
        <v>33</v>
      </c>
      <c r="B12" s="8">
        <v>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15F8-27E7-403C-A065-98EE73E3C2F7}">
  <dimension ref="A3:D8"/>
  <sheetViews>
    <sheetView workbookViewId="0">
      <selection activeCell="C8" sqref="C8"/>
    </sheetView>
  </sheetViews>
  <sheetFormatPr defaultRowHeight="14.5" x14ac:dyDescent="0.35"/>
  <cols>
    <col min="1" max="1" width="12.36328125" bestFit="1" customWidth="1"/>
    <col min="2" max="2" width="24.54296875" bestFit="1" customWidth="1"/>
    <col min="3" max="3" width="21.26953125" bestFit="1" customWidth="1"/>
    <col min="4" max="4" width="27.08984375" bestFit="1" customWidth="1"/>
  </cols>
  <sheetData>
    <row r="3" spans="1:4" x14ac:dyDescent="0.35">
      <c r="A3" s="2" t="s">
        <v>395</v>
      </c>
      <c r="B3" t="s">
        <v>399</v>
      </c>
      <c r="C3" t="s">
        <v>403</v>
      </c>
      <c r="D3" t="s">
        <v>401</v>
      </c>
    </row>
    <row r="4" spans="1:4" x14ac:dyDescent="0.35">
      <c r="A4" s="3" t="s">
        <v>29</v>
      </c>
      <c r="B4" s="5">
        <v>4163.6000000000004</v>
      </c>
      <c r="C4" s="7">
        <v>126.77142857142857</v>
      </c>
      <c r="D4" s="5">
        <v>2.6708858462412523E-2</v>
      </c>
    </row>
    <row r="5" spans="1:4" x14ac:dyDescent="0.35">
      <c r="A5" s="3" t="s">
        <v>16</v>
      </c>
      <c r="B5" s="5">
        <v>4956.9124579124582</v>
      </c>
      <c r="C5" s="7">
        <v>138.15151515151516</v>
      </c>
      <c r="D5" s="5">
        <v>2.3867264483471269E-2</v>
      </c>
    </row>
    <row r="8" spans="1:4" x14ac:dyDescent="0.35">
      <c r="B8" s="5"/>
      <c r="C8" s="6"/>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092A-776E-45DB-8D42-881E9E4F9749}">
  <dimension ref="A3:B9"/>
  <sheetViews>
    <sheetView workbookViewId="0">
      <selection activeCell="F23" sqref="F23"/>
    </sheetView>
  </sheetViews>
  <sheetFormatPr defaultRowHeight="14.5" x14ac:dyDescent="0.35"/>
  <cols>
    <col min="1" max="1" width="14.08984375" bestFit="1" customWidth="1"/>
    <col min="2" max="2" width="28.1796875" bestFit="1" customWidth="1"/>
  </cols>
  <sheetData>
    <row r="3" spans="1:2" x14ac:dyDescent="0.35">
      <c r="A3" s="2" t="s">
        <v>395</v>
      </c>
      <c r="B3" t="s">
        <v>397</v>
      </c>
    </row>
    <row r="4" spans="1:2" x14ac:dyDescent="0.35">
      <c r="A4" s="3" t="s">
        <v>18</v>
      </c>
      <c r="B4" s="8">
        <v>283</v>
      </c>
    </row>
    <row r="5" spans="1:2" x14ac:dyDescent="0.35">
      <c r="A5" s="4" t="s">
        <v>21</v>
      </c>
      <c r="B5" s="8">
        <v>239</v>
      </c>
    </row>
    <row r="6" spans="1:2" x14ac:dyDescent="0.35">
      <c r="A6" s="4" t="s">
        <v>33</v>
      </c>
      <c r="B6" s="8">
        <v>44</v>
      </c>
    </row>
    <row r="7" spans="1:2" x14ac:dyDescent="0.35">
      <c r="A7" s="3" t="s">
        <v>26</v>
      </c>
      <c r="B7" s="8">
        <v>84</v>
      </c>
    </row>
    <row r="8" spans="1:2" x14ac:dyDescent="0.35">
      <c r="A8" s="4" t="s">
        <v>21</v>
      </c>
      <c r="B8" s="8">
        <v>68</v>
      </c>
    </row>
    <row r="9" spans="1:2" x14ac:dyDescent="0.35">
      <c r="A9" s="4" t="s">
        <v>33</v>
      </c>
      <c r="B9" s="8">
        <v>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F67E6-4795-4E69-8DD9-D4CCC719F9D0}">
  <dimension ref="A3:D370"/>
  <sheetViews>
    <sheetView workbookViewId="0">
      <selection activeCell="D9" sqref="D9"/>
    </sheetView>
  </sheetViews>
  <sheetFormatPr defaultRowHeight="14.5" x14ac:dyDescent="0.35"/>
  <cols>
    <col min="1" max="1" width="12.36328125" bestFit="1" customWidth="1"/>
    <col min="2" max="2" width="18.08984375" bestFit="1" customWidth="1"/>
    <col min="3" max="3" width="18.7265625" bestFit="1" customWidth="1"/>
    <col min="4" max="4" width="22.6328125" customWidth="1"/>
  </cols>
  <sheetData>
    <row r="3" spans="1:4" x14ac:dyDescent="0.35">
      <c r="A3" s="2" t="s">
        <v>395</v>
      </c>
      <c r="B3" t="s">
        <v>402</v>
      </c>
      <c r="C3" t="s">
        <v>405</v>
      </c>
    </row>
    <row r="4" spans="1:4" x14ac:dyDescent="0.35">
      <c r="A4" s="3" t="s">
        <v>15</v>
      </c>
      <c r="B4" s="8">
        <v>110</v>
      </c>
      <c r="C4" s="8">
        <v>5720</v>
      </c>
      <c r="D4" t="s">
        <v>404</v>
      </c>
    </row>
    <row r="5" spans="1:4" x14ac:dyDescent="0.35">
      <c r="A5" s="3" t="s">
        <v>22</v>
      </c>
      <c r="B5" s="8">
        <v>126</v>
      </c>
      <c r="C5" s="8">
        <v>4576</v>
      </c>
      <c r="D5" s="5">
        <f>AVERAGE(B4:B370)</f>
        <v>135.98092643051771</v>
      </c>
    </row>
    <row r="6" spans="1:4" x14ac:dyDescent="0.35">
      <c r="A6" s="3" t="s">
        <v>23</v>
      </c>
      <c r="B6" s="8">
        <v>208</v>
      </c>
      <c r="C6" s="8">
        <v>6800</v>
      </c>
    </row>
    <row r="7" spans="1:4" x14ac:dyDescent="0.35">
      <c r="A7" s="3" t="s">
        <v>24</v>
      </c>
      <c r="B7" s="8">
        <v>100</v>
      </c>
      <c r="C7" s="8">
        <v>4886</v>
      </c>
    </row>
    <row r="8" spans="1:4" x14ac:dyDescent="0.35">
      <c r="A8" s="3" t="s">
        <v>25</v>
      </c>
      <c r="B8" s="8">
        <v>78</v>
      </c>
      <c r="C8" s="8">
        <v>3276</v>
      </c>
      <c r="D8" t="s">
        <v>400</v>
      </c>
    </row>
    <row r="9" spans="1:4" x14ac:dyDescent="0.35">
      <c r="A9" s="3" t="s">
        <v>27</v>
      </c>
      <c r="B9" s="8">
        <v>152</v>
      </c>
      <c r="C9" s="8">
        <v>5587</v>
      </c>
      <c r="D9" s="5">
        <f>AVERAGE(C4:C370)</f>
        <v>6375.1771117166209</v>
      </c>
    </row>
    <row r="10" spans="1:4" x14ac:dyDescent="0.35">
      <c r="A10" s="3" t="s">
        <v>28</v>
      </c>
      <c r="B10" s="8">
        <v>59</v>
      </c>
      <c r="C10" s="8">
        <v>2226</v>
      </c>
    </row>
    <row r="11" spans="1:4" x14ac:dyDescent="0.35">
      <c r="A11" s="3" t="s">
        <v>31</v>
      </c>
      <c r="B11" s="8">
        <v>147</v>
      </c>
      <c r="C11" s="8">
        <v>3881</v>
      </c>
    </row>
    <row r="12" spans="1:4" x14ac:dyDescent="0.35">
      <c r="A12" s="3" t="s">
        <v>34</v>
      </c>
      <c r="B12" s="8">
        <v>280</v>
      </c>
      <c r="C12" s="8">
        <v>13633</v>
      </c>
    </row>
    <row r="13" spans="1:4" x14ac:dyDescent="0.35">
      <c r="A13" s="3" t="s">
        <v>35</v>
      </c>
      <c r="B13" s="8">
        <v>123</v>
      </c>
      <c r="C13" s="8">
        <v>4800</v>
      </c>
    </row>
    <row r="14" spans="1:4" x14ac:dyDescent="0.35">
      <c r="A14" s="3" t="s">
        <v>36</v>
      </c>
      <c r="B14" s="8">
        <v>90</v>
      </c>
      <c r="C14" s="8">
        <v>3091</v>
      </c>
    </row>
    <row r="15" spans="1:4" x14ac:dyDescent="0.35">
      <c r="A15" s="3" t="s">
        <v>37</v>
      </c>
      <c r="B15" s="8">
        <v>162</v>
      </c>
      <c r="C15" s="8">
        <v>3701</v>
      </c>
    </row>
    <row r="16" spans="1:4" x14ac:dyDescent="0.35">
      <c r="A16" s="3" t="s">
        <v>38</v>
      </c>
      <c r="B16" s="8">
        <v>40</v>
      </c>
      <c r="C16" s="8">
        <v>4166</v>
      </c>
    </row>
    <row r="17" spans="1:3" x14ac:dyDescent="0.35">
      <c r="A17" s="3" t="s">
        <v>40</v>
      </c>
      <c r="B17" s="8">
        <v>166</v>
      </c>
      <c r="C17" s="8">
        <v>12173</v>
      </c>
    </row>
    <row r="18" spans="1:3" x14ac:dyDescent="0.35">
      <c r="A18" s="3" t="s">
        <v>41</v>
      </c>
      <c r="B18" s="8">
        <v>124</v>
      </c>
      <c r="C18" s="8">
        <v>4666</v>
      </c>
    </row>
    <row r="19" spans="1:3" x14ac:dyDescent="0.35">
      <c r="A19" s="3" t="s">
        <v>42</v>
      </c>
      <c r="B19" s="8">
        <v>131</v>
      </c>
      <c r="C19" s="8">
        <v>5667</v>
      </c>
    </row>
    <row r="20" spans="1:3" x14ac:dyDescent="0.35">
      <c r="A20" s="3" t="s">
        <v>43</v>
      </c>
      <c r="B20" s="8">
        <v>200</v>
      </c>
      <c r="C20" s="8">
        <v>7499</v>
      </c>
    </row>
    <row r="21" spans="1:3" x14ac:dyDescent="0.35">
      <c r="A21" s="3" t="s">
        <v>44</v>
      </c>
      <c r="B21" s="8">
        <v>126</v>
      </c>
      <c r="C21" s="8">
        <v>4119</v>
      </c>
    </row>
    <row r="22" spans="1:3" x14ac:dyDescent="0.35">
      <c r="A22" s="3" t="s">
        <v>45</v>
      </c>
      <c r="B22" s="8">
        <v>300</v>
      </c>
      <c r="C22" s="8">
        <v>17142</v>
      </c>
    </row>
    <row r="23" spans="1:3" x14ac:dyDescent="0.35">
      <c r="A23" s="3" t="s">
        <v>46</v>
      </c>
      <c r="B23" s="8">
        <v>100</v>
      </c>
      <c r="C23" s="8">
        <v>4770</v>
      </c>
    </row>
    <row r="24" spans="1:3" x14ac:dyDescent="0.35">
      <c r="A24" s="3" t="s">
        <v>47</v>
      </c>
      <c r="B24" s="8">
        <v>48</v>
      </c>
      <c r="C24" s="8">
        <v>3508</v>
      </c>
    </row>
    <row r="25" spans="1:3" x14ac:dyDescent="0.35">
      <c r="A25" s="3" t="s">
        <v>48</v>
      </c>
      <c r="B25" s="8">
        <v>28</v>
      </c>
      <c r="C25" s="8">
        <v>2083</v>
      </c>
    </row>
    <row r="26" spans="1:3" x14ac:dyDescent="0.35">
      <c r="A26" s="3" t="s">
        <v>49</v>
      </c>
      <c r="B26" s="8">
        <v>101</v>
      </c>
      <c r="C26" s="8">
        <v>3909</v>
      </c>
    </row>
    <row r="27" spans="1:3" x14ac:dyDescent="0.35">
      <c r="A27" s="3" t="s">
        <v>50</v>
      </c>
      <c r="B27" s="8">
        <v>125</v>
      </c>
      <c r="C27" s="8">
        <v>3765</v>
      </c>
    </row>
    <row r="28" spans="1:3" x14ac:dyDescent="0.35">
      <c r="A28" s="3" t="s">
        <v>51</v>
      </c>
      <c r="B28" s="8">
        <v>290</v>
      </c>
      <c r="C28" s="8">
        <v>9780</v>
      </c>
    </row>
    <row r="29" spans="1:3" x14ac:dyDescent="0.35">
      <c r="A29" s="3" t="s">
        <v>52</v>
      </c>
      <c r="B29" s="8">
        <v>148</v>
      </c>
      <c r="C29" s="8">
        <v>24000</v>
      </c>
    </row>
    <row r="30" spans="1:3" x14ac:dyDescent="0.35">
      <c r="A30" s="3" t="s">
        <v>53</v>
      </c>
      <c r="B30" s="8">
        <v>140</v>
      </c>
      <c r="C30" s="8">
        <v>5613</v>
      </c>
    </row>
    <row r="31" spans="1:3" x14ac:dyDescent="0.35">
      <c r="A31" s="3" t="s">
        <v>54</v>
      </c>
      <c r="B31" s="8">
        <v>275</v>
      </c>
      <c r="C31" s="8">
        <v>11250</v>
      </c>
    </row>
    <row r="32" spans="1:3" x14ac:dyDescent="0.35">
      <c r="A32" s="3" t="s">
        <v>55</v>
      </c>
      <c r="B32" s="8">
        <v>57</v>
      </c>
      <c r="C32" s="8">
        <v>4605</v>
      </c>
    </row>
    <row r="33" spans="1:3" x14ac:dyDescent="0.35">
      <c r="A33" s="3" t="s">
        <v>56</v>
      </c>
      <c r="B33" s="8">
        <v>125</v>
      </c>
      <c r="C33" s="8">
        <v>5324</v>
      </c>
    </row>
    <row r="34" spans="1:3" x14ac:dyDescent="0.35">
      <c r="A34" s="3" t="s">
        <v>57</v>
      </c>
      <c r="B34" s="8">
        <v>75</v>
      </c>
      <c r="C34" s="8">
        <v>2478</v>
      </c>
    </row>
    <row r="35" spans="1:3" x14ac:dyDescent="0.35">
      <c r="A35" s="3" t="s">
        <v>58</v>
      </c>
      <c r="B35" s="8">
        <v>192</v>
      </c>
      <c r="C35" s="8">
        <v>7070</v>
      </c>
    </row>
    <row r="36" spans="1:3" x14ac:dyDescent="0.35">
      <c r="A36" s="3" t="s">
        <v>59</v>
      </c>
      <c r="B36" s="8">
        <v>152</v>
      </c>
      <c r="C36" s="8">
        <v>4951</v>
      </c>
    </row>
    <row r="37" spans="1:3" x14ac:dyDescent="0.35">
      <c r="A37" s="3" t="s">
        <v>60</v>
      </c>
      <c r="B37" s="8">
        <v>158</v>
      </c>
      <c r="C37" s="8">
        <v>5491</v>
      </c>
    </row>
    <row r="38" spans="1:3" x14ac:dyDescent="0.35">
      <c r="A38" s="3" t="s">
        <v>61</v>
      </c>
      <c r="B38" s="8">
        <v>101</v>
      </c>
      <c r="C38" s="8">
        <v>4281</v>
      </c>
    </row>
    <row r="39" spans="1:3" x14ac:dyDescent="0.35">
      <c r="A39" s="3" t="s">
        <v>62</v>
      </c>
      <c r="B39" s="8">
        <v>176</v>
      </c>
      <c r="C39" s="8">
        <v>3150</v>
      </c>
    </row>
    <row r="40" spans="1:3" x14ac:dyDescent="0.35">
      <c r="A40" s="3" t="s">
        <v>63</v>
      </c>
      <c r="B40" s="8">
        <v>185</v>
      </c>
      <c r="C40" s="8">
        <v>11379</v>
      </c>
    </row>
    <row r="41" spans="1:3" x14ac:dyDescent="0.35">
      <c r="A41" s="3" t="s">
        <v>64</v>
      </c>
      <c r="B41" s="8">
        <v>90</v>
      </c>
      <c r="C41" s="8">
        <v>5059</v>
      </c>
    </row>
    <row r="42" spans="1:3" x14ac:dyDescent="0.35">
      <c r="A42" s="3" t="s">
        <v>65</v>
      </c>
      <c r="B42" s="8">
        <v>116</v>
      </c>
      <c r="C42" s="8">
        <v>5833</v>
      </c>
    </row>
    <row r="43" spans="1:3" x14ac:dyDescent="0.35">
      <c r="A43" s="3" t="s">
        <v>66</v>
      </c>
      <c r="B43" s="8">
        <v>138</v>
      </c>
      <c r="C43" s="8">
        <v>5606</v>
      </c>
    </row>
    <row r="44" spans="1:3" x14ac:dyDescent="0.35">
      <c r="A44" s="3" t="s">
        <v>67</v>
      </c>
      <c r="B44" s="8">
        <v>100</v>
      </c>
      <c r="C44" s="8">
        <v>6447</v>
      </c>
    </row>
    <row r="45" spans="1:3" x14ac:dyDescent="0.35">
      <c r="A45" s="3" t="s">
        <v>68</v>
      </c>
      <c r="B45" s="8">
        <v>110</v>
      </c>
      <c r="C45" s="8">
        <v>3644</v>
      </c>
    </row>
    <row r="46" spans="1:3" x14ac:dyDescent="0.35">
      <c r="A46" s="3" t="s">
        <v>69</v>
      </c>
      <c r="B46" s="8">
        <v>90</v>
      </c>
      <c r="C46" s="8">
        <v>3774</v>
      </c>
    </row>
    <row r="47" spans="1:3" x14ac:dyDescent="0.35">
      <c r="A47" s="3" t="s">
        <v>70</v>
      </c>
      <c r="B47" s="8">
        <v>200</v>
      </c>
      <c r="C47" s="8">
        <v>9100</v>
      </c>
    </row>
    <row r="48" spans="1:3" x14ac:dyDescent="0.35">
      <c r="A48" s="3" t="s">
        <v>71</v>
      </c>
      <c r="B48" s="8">
        <v>84</v>
      </c>
      <c r="C48" s="8">
        <v>3666</v>
      </c>
    </row>
    <row r="49" spans="1:3" x14ac:dyDescent="0.35">
      <c r="A49" s="3" t="s">
        <v>72</v>
      </c>
      <c r="B49" s="8">
        <v>185</v>
      </c>
      <c r="C49" s="8">
        <v>8160</v>
      </c>
    </row>
    <row r="50" spans="1:3" x14ac:dyDescent="0.35">
      <c r="A50" s="3" t="s">
        <v>73</v>
      </c>
      <c r="B50" s="8">
        <v>162</v>
      </c>
      <c r="C50" s="8">
        <v>5638</v>
      </c>
    </row>
    <row r="51" spans="1:3" x14ac:dyDescent="0.35">
      <c r="A51" s="3" t="s">
        <v>74</v>
      </c>
      <c r="B51" s="8">
        <v>108</v>
      </c>
      <c r="C51" s="8">
        <v>4258</v>
      </c>
    </row>
    <row r="52" spans="1:3" x14ac:dyDescent="0.35">
      <c r="A52" s="3" t="s">
        <v>75</v>
      </c>
      <c r="B52" s="8">
        <v>187</v>
      </c>
      <c r="C52" s="8">
        <v>10130</v>
      </c>
    </row>
    <row r="53" spans="1:3" x14ac:dyDescent="0.35">
      <c r="A53" s="3" t="s">
        <v>76</v>
      </c>
      <c r="B53" s="8">
        <v>187</v>
      </c>
      <c r="C53" s="8">
        <v>8250</v>
      </c>
    </row>
    <row r="54" spans="1:3" x14ac:dyDescent="0.35">
      <c r="A54" s="3" t="s">
        <v>77</v>
      </c>
      <c r="B54" s="8">
        <v>124</v>
      </c>
      <c r="C54" s="8">
        <v>4126</v>
      </c>
    </row>
    <row r="55" spans="1:3" x14ac:dyDescent="0.35">
      <c r="A55" s="3" t="s">
        <v>78</v>
      </c>
      <c r="B55" s="8">
        <v>120</v>
      </c>
      <c r="C55" s="8">
        <v>4333</v>
      </c>
    </row>
    <row r="56" spans="1:3" x14ac:dyDescent="0.35">
      <c r="A56" s="3" t="s">
        <v>79</v>
      </c>
      <c r="B56" s="8">
        <v>160</v>
      </c>
      <c r="C56" s="8">
        <v>6577</v>
      </c>
    </row>
    <row r="57" spans="1:3" x14ac:dyDescent="0.35">
      <c r="A57" s="3" t="s">
        <v>80</v>
      </c>
      <c r="B57" s="8">
        <v>30</v>
      </c>
      <c r="C57" s="8">
        <v>5116</v>
      </c>
    </row>
    <row r="58" spans="1:3" x14ac:dyDescent="0.35">
      <c r="A58" s="3" t="s">
        <v>81</v>
      </c>
      <c r="B58" s="8">
        <v>92</v>
      </c>
      <c r="C58" s="8">
        <v>5293</v>
      </c>
    </row>
    <row r="59" spans="1:3" x14ac:dyDescent="0.35">
      <c r="A59" s="3" t="s">
        <v>82</v>
      </c>
      <c r="B59" s="8">
        <v>130</v>
      </c>
      <c r="C59" s="8">
        <v>2750</v>
      </c>
    </row>
    <row r="60" spans="1:3" x14ac:dyDescent="0.35">
      <c r="A60" s="3" t="s">
        <v>83</v>
      </c>
      <c r="B60" s="8">
        <v>130</v>
      </c>
      <c r="C60" s="8">
        <v>4402</v>
      </c>
    </row>
    <row r="61" spans="1:3" x14ac:dyDescent="0.35">
      <c r="A61" s="3" t="s">
        <v>84</v>
      </c>
      <c r="B61" s="8">
        <v>134</v>
      </c>
      <c r="C61" s="8">
        <v>7152</v>
      </c>
    </row>
    <row r="62" spans="1:3" x14ac:dyDescent="0.35">
      <c r="A62" s="3" t="s">
        <v>85</v>
      </c>
      <c r="B62" s="8">
        <v>176</v>
      </c>
      <c r="C62" s="8">
        <v>6443</v>
      </c>
    </row>
    <row r="63" spans="1:3" x14ac:dyDescent="0.35">
      <c r="A63" s="3" t="s">
        <v>86</v>
      </c>
      <c r="B63" s="8">
        <v>90</v>
      </c>
      <c r="C63" s="8">
        <v>4720</v>
      </c>
    </row>
    <row r="64" spans="1:3" x14ac:dyDescent="0.35">
      <c r="A64" s="3" t="s">
        <v>87</v>
      </c>
      <c r="B64" s="8">
        <v>110</v>
      </c>
      <c r="C64" s="8">
        <v>4136</v>
      </c>
    </row>
    <row r="65" spans="1:3" x14ac:dyDescent="0.35">
      <c r="A65" s="3" t="s">
        <v>88</v>
      </c>
      <c r="B65" s="8">
        <v>125</v>
      </c>
      <c r="C65" s="8">
        <v>7308</v>
      </c>
    </row>
    <row r="66" spans="1:3" x14ac:dyDescent="0.35">
      <c r="A66" s="3" t="s">
        <v>89</v>
      </c>
      <c r="B66" s="8">
        <v>189</v>
      </c>
      <c r="C66" s="8">
        <v>4968</v>
      </c>
    </row>
    <row r="67" spans="1:3" x14ac:dyDescent="0.35">
      <c r="A67" s="3" t="s">
        <v>90</v>
      </c>
      <c r="B67" s="8">
        <v>108</v>
      </c>
      <c r="C67" s="8">
        <v>3601</v>
      </c>
    </row>
    <row r="68" spans="1:3" x14ac:dyDescent="0.35">
      <c r="A68" s="3" t="s">
        <v>91</v>
      </c>
      <c r="B68" s="8">
        <v>125</v>
      </c>
      <c r="C68" s="8">
        <v>4490</v>
      </c>
    </row>
    <row r="69" spans="1:3" x14ac:dyDescent="0.35">
      <c r="A69" s="3" t="s">
        <v>92</v>
      </c>
      <c r="B69" s="8">
        <v>138</v>
      </c>
      <c r="C69" s="8">
        <v>6500</v>
      </c>
    </row>
    <row r="70" spans="1:3" x14ac:dyDescent="0.35">
      <c r="A70" s="3" t="s">
        <v>93</v>
      </c>
      <c r="B70" s="8">
        <v>135</v>
      </c>
      <c r="C70" s="8">
        <v>4700</v>
      </c>
    </row>
    <row r="71" spans="1:3" x14ac:dyDescent="0.35">
      <c r="A71" s="3" t="s">
        <v>94</v>
      </c>
      <c r="B71" s="8">
        <v>130</v>
      </c>
      <c r="C71" s="8">
        <v>3445</v>
      </c>
    </row>
    <row r="72" spans="1:3" x14ac:dyDescent="0.35">
      <c r="A72" s="3" t="s">
        <v>95</v>
      </c>
      <c r="B72" s="8">
        <v>187</v>
      </c>
      <c r="C72" s="8">
        <v>7666</v>
      </c>
    </row>
    <row r="73" spans="1:3" x14ac:dyDescent="0.35">
      <c r="A73" s="3" t="s">
        <v>96</v>
      </c>
      <c r="B73" s="8">
        <v>188</v>
      </c>
      <c r="C73" s="8">
        <v>7563</v>
      </c>
    </row>
    <row r="74" spans="1:3" x14ac:dyDescent="0.35">
      <c r="A74" s="3" t="s">
        <v>97</v>
      </c>
      <c r="B74" s="8">
        <v>95</v>
      </c>
      <c r="C74" s="8">
        <v>3250</v>
      </c>
    </row>
    <row r="75" spans="1:3" x14ac:dyDescent="0.35">
      <c r="A75" s="3" t="s">
        <v>98</v>
      </c>
      <c r="B75" s="8">
        <v>65</v>
      </c>
      <c r="C75" s="8">
        <v>4463</v>
      </c>
    </row>
    <row r="76" spans="1:3" x14ac:dyDescent="0.35">
      <c r="A76" s="3" t="s">
        <v>99</v>
      </c>
      <c r="B76" s="8">
        <v>139</v>
      </c>
      <c r="C76" s="8">
        <v>5858</v>
      </c>
    </row>
    <row r="77" spans="1:3" x14ac:dyDescent="0.35">
      <c r="A77" s="3" t="s">
        <v>100</v>
      </c>
      <c r="B77" s="8">
        <v>232</v>
      </c>
      <c r="C77" s="8">
        <v>5994</v>
      </c>
    </row>
    <row r="78" spans="1:3" x14ac:dyDescent="0.35">
      <c r="A78" s="3" t="s">
        <v>101</v>
      </c>
      <c r="B78" s="8">
        <v>144</v>
      </c>
      <c r="C78" s="8">
        <v>8333</v>
      </c>
    </row>
    <row r="79" spans="1:3" x14ac:dyDescent="0.35">
      <c r="A79" s="3" t="s">
        <v>102</v>
      </c>
      <c r="B79" s="8">
        <v>155</v>
      </c>
      <c r="C79" s="8">
        <v>7018</v>
      </c>
    </row>
    <row r="80" spans="1:3" x14ac:dyDescent="0.35">
      <c r="A80" s="3" t="s">
        <v>103</v>
      </c>
      <c r="B80" s="8">
        <v>186</v>
      </c>
      <c r="C80" s="8">
        <v>5556</v>
      </c>
    </row>
    <row r="81" spans="1:3" x14ac:dyDescent="0.35">
      <c r="A81" s="3" t="s">
        <v>104</v>
      </c>
      <c r="B81" s="8">
        <v>50</v>
      </c>
      <c r="C81" s="8">
        <v>6356</v>
      </c>
    </row>
    <row r="82" spans="1:3" x14ac:dyDescent="0.35">
      <c r="A82" s="3" t="s">
        <v>105</v>
      </c>
      <c r="B82" s="8">
        <v>125</v>
      </c>
      <c r="C82" s="8">
        <v>7466</v>
      </c>
    </row>
    <row r="83" spans="1:3" x14ac:dyDescent="0.35">
      <c r="A83" s="3" t="s">
        <v>106</v>
      </c>
      <c r="B83" s="8">
        <v>185</v>
      </c>
      <c r="C83" s="8">
        <v>7950</v>
      </c>
    </row>
    <row r="84" spans="1:3" x14ac:dyDescent="0.35">
      <c r="A84" s="3" t="s">
        <v>107</v>
      </c>
      <c r="B84" s="8">
        <v>163</v>
      </c>
      <c r="C84" s="8">
        <v>4932</v>
      </c>
    </row>
    <row r="85" spans="1:3" x14ac:dyDescent="0.35">
      <c r="A85" s="3" t="s">
        <v>108</v>
      </c>
      <c r="B85" s="8">
        <v>360</v>
      </c>
      <c r="C85" s="8">
        <v>72529</v>
      </c>
    </row>
    <row r="86" spans="1:3" x14ac:dyDescent="0.35">
      <c r="A86" s="3" t="s">
        <v>109</v>
      </c>
      <c r="B86" s="8">
        <v>149</v>
      </c>
      <c r="C86" s="8">
        <v>4136</v>
      </c>
    </row>
    <row r="87" spans="1:3" x14ac:dyDescent="0.35">
      <c r="A87" s="3" t="s">
        <v>110</v>
      </c>
      <c r="B87" s="8">
        <v>257</v>
      </c>
      <c r="C87" s="8">
        <v>8449</v>
      </c>
    </row>
    <row r="88" spans="1:3" x14ac:dyDescent="0.35">
      <c r="A88" s="3" t="s">
        <v>111</v>
      </c>
      <c r="B88" s="8">
        <v>131</v>
      </c>
      <c r="C88" s="8">
        <v>4456</v>
      </c>
    </row>
    <row r="89" spans="1:3" x14ac:dyDescent="0.35">
      <c r="A89" s="3" t="s">
        <v>112</v>
      </c>
      <c r="B89" s="8">
        <v>102</v>
      </c>
      <c r="C89" s="8">
        <v>12635</v>
      </c>
    </row>
    <row r="90" spans="1:3" x14ac:dyDescent="0.35">
      <c r="A90" s="3" t="s">
        <v>113</v>
      </c>
      <c r="B90" s="8">
        <v>135</v>
      </c>
      <c r="C90" s="8">
        <v>5488</v>
      </c>
    </row>
    <row r="91" spans="1:3" x14ac:dyDescent="0.35">
      <c r="A91" s="3" t="s">
        <v>114</v>
      </c>
      <c r="B91" s="8">
        <v>95</v>
      </c>
      <c r="C91" s="8">
        <v>3066</v>
      </c>
    </row>
    <row r="92" spans="1:3" x14ac:dyDescent="0.35">
      <c r="A92" s="3" t="s">
        <v>115</v>
      </c>
      <c r="B92" s="8">
        <v>77</v>
      </c>
      <c r="C92" s="8">
        <v>5250</v>
      </c>
    </row>
    <row r="93" spans="1:3" x14ac:dyDescent="0.35">
      <c r="A93" s="3" t="s">
        <v>116</v>
      </c>
      <c r="B93" s="8">
        <v>200</v>
      </c>
      <c r="C93" s="8">
        <v>5058</v>
      </c>
    </row>
    <row r="94" spans="1:3" x14ac:dyDescent="0.35">
      <c r="A94" s="3" t="s">
        <v>117</v>
      </c>
      <c r="B94" s="8">
        <v>130</v>
      </c>
      <c r="C94" s="8">
        <v>5474</v>
      </c>
    </row>
    <row r="95" spans="1:3" x14ac:dyDescent="0.35">
      <c r="A95" s="3" t="s">
        <v>118</v>
      </c>
      <c r="B95" s="8">
        <v>390</v>
      </c>
      <c r="C95" s="8">
        <v>13518</v>
      </c>
    </row>
    <row r="96" spans="1:3" x14ac:dyDescent="0.35">
      <c r="A96" s="3" t="s">
        <v>119</v>
      </c>
      <c r="B96" s="8">
        <v>185</v>
      </c>
      <c r="C96" s="8">
        <v>6864</v>
      </c>
    </row>
    <row r="97" spans="1:3" x14ac:dyDescent="0.35">
      <c r="A97" s="3" t="s">
        <v>120</v>
      </c>
      <c r="B97" s="8">
        <v>100</v>
      </c>
      <c r="C97" s="8">
        <v>6412</v>
      </c>
    </row>
    <row r="98" spans="1:3" x14ac:dyDescent="0.35">
      <c r="A98" s="3" t="s">
        <v>121</v>
      </c>
      <c r="B98" s="8">
        <v>123</v>
      </c>
      <c r="C98" s="8">
        <v>6942</v>
      </c>
    </row>
    <row r="99" spans="1:3" x14ac:dyDescent="0.35">
      <c r="A99" s="3" t="s">
        <v>122</v>
      </c>
      <c r="B99" s="8">
        <v>110</v>
      </c>
      <c r="C99" s="8">
        <v>6260</v>
      </c>
    </row>
    <row r="100" spans="1:3" x14ac:dyDescent="0.35">
      <c r="A100" s="3" t="s">
        <v>123</v>
      </c>
      <c r="B100" s="8">
        <v>256</v>
      </c>
      <c r="C100" s="8">
        <v>7533</v>
      </c>
    </row>
    <row r="101" spans="1:3" x14ac:dyDescent="0.35">
      <c r="A101" s="3" t="s">
        <v>124</v>
      </c>
      <c r="B101" s="8">
        <v>140</v>
      </c>
      <c r="C101" s="8">
        <v>6750</v>
      </c>
    </row>
    <row r="102" spans="1:3" x14ac:dyDescent="0.35">
      <c r="A102" s="3" t="s">
        <v>125</v>
      </c>
      <c r="B102" s="8">
        <v>61</v>
      </c>
      <c r="C102" s="8">
        <v>9719</v>
      </c>
    </row>
    <row r="103" spans="1:3" x14ac:dyDescent="0.35">
      <c r="A103" s="3" t="s">
        <v>126</v>
      </c>
      <c r="B103" s="8">
        <v>188</v>
      </c>
      <c r="C103" s="8">
        <v>6835</v>
      </c>
    </row>
    <row r="104" spans="1:3" x14ac:dyDescent="0.35">
      <c r="A104" s="3" t="s">
        <v>127</v>
      </c>
      <c r="B104" s="8">
        <v>131</v>
      </c>
      <c r="C104" s="8">
        <v>4452</v>
      </c>
    </row>
    <row r="105" spans="1:3" x14ac:dyDescent="0.35">
      <c r="A105" s="3" t="s">
        <v>128</v>
      </c>
      <c r="B105" s="8">
        <v>125</v>
      </c>
      <c r="C105" s="8">
        <v>2262</v>
      </c>
    </row>
    <row r="106" spans="1:3" x14ac:dyDescent="0.35">
      <c r="A106" s="3" t="s">
        <v>129</v>
      </c>
      <c r="B106" s="8">
        <v>116</v>
      </c>
      <c r="C106" s="8">
        <v>3901</v>
      </c>
    </row>
    <row r="107" spans="1:3" x14ac:dyDescent="0.35">
      <c r="A107" s="3" t="s">
        <v>130</v>
      </c>
      <c r="B107" s="8">
        <v>50</v>
      </c>
      <c r="C107" s="8">
        <v>2687</v>
      </c>
    </row>
    <row r="108" spans="1:3" x14ac:dyDescent="0.35">
      <c r="A108" s="3" t="s">
        <v>131</v>
      </c>
      <c r="B108" s="8">
        <v>107</v>
      </c>
      <c r="C108" s="8">
        <v>4476</v>
      </c>
    </row>
    <row r="109" spans="1:3" x14ac:dyDescent="0.35">
      <c r="A109" s="3" t="s">
        <v>132</v>
      </c>
      <c r="B109" s="8">
        <v>200</v>
      </c>
      <c r="C109" s="8">
        <v>4704</v>
      </c>
    </row>
    <row r="110" spans="1:3" x14ac:dyDescent="0.35">
      <c r="A110" s="3" t="s">
        <v>133</v>
      </c>
      <c r="B110" s="8">
        <v>119</v>
      </c>
      <c r="C110" s="8">
        <v>3356</v>
      </c>
    </row>
    <row r="111" spans="1:3" x14ac:dyDescent="0.35">
      <c r="A111" s="3" t="s">
        <v>134</v>
      </c>
      <c r="B111" s="8">
        <v>120</v>
      </c>
      <c r="C111" s="8">
        <v>4513</v>
      </c>
    </row>
    <row r="112" spans="1:3" x14ac:dyDescent="0.35">
      <c r="A112" s="3" t="s">
        <v>135</v>
      </c>
      <c r="B112" s="8">
        <v>140</v>
      </c>
      <c r="C112" s="8">
        <v>4500</v>
      </c>
    </row>
    <row r="113" spans="1:3" x14ac:dyDescent="0.35">
      <c r="A113" s="3" t="s">
        <v>136</v>
      </c>
      <c r="B113" s="8">
        <v>165</v>
      </c>
      <c r="C113" s="8">
        <v>5873</v>
      </c>
    </row>
    <row r="114" spans="1:3" x14ac:dyDescent="0.35">
      <c r="A114" s="3" t="s">
        <v>137</v>
      </c>
      <c r="B114" s="8">
        <v>108</v>
      </c>
      <c r="C114" s="8">
        <v>4742</v>
      </c>
    </row>
    <row r="115" spans="1:3" x14ac:dyDescent="0.35">
      <c r="A115" s="3" t="s">
        <v>138</v>
      </c>
      <c r="B115" s="8">
        <v>93</v>
      </c>
      <c r="C115" s="8">
        <v>4082</v>
      </c>
    </row>
    <row r="116" spans="1:3" x14ac:dyDescent="0.35">
      <c r="A116" s="3" t="s">
        <v>139</v>
      </c>
      <c r="B116" s="8">
        <v>102</v>
      </c>
      <c r="C116" s="8">
        <v>3417</v>
      </c>
    </row>
    <row r="117" spans="1:3" x14ac:dyDescent="0.35">
      <c r="A117" s="3" t="s">
        <v>140</v>
      </c>
      <c r="B117" s="8">
        <v>122</v>
      </c>
      <c r="C117" s="8">
        <v>6318</v>
      </c>
    </row>
    <row r="118" spans="1:3" x14ac:dyDescent="0.35">
      <c r="A118" s="3" t="s">
        <v>141</v>
      </c>
      <c r="B118" s="8">
        <v>160</v>
      </c>
      <c r="C118" s="8">
        <v>8921</v>
      </c>
    </row>
    <row r="119" spans="1:3" x14ac:dyDescent="0.35">
      <c r="A119" s="3" t="s">
        <v>142</v>
      </c>
      <c r="B119" s="8">
        <v>157</v>
      </c>
      <c r="C119" s="8">
        <v>8366</v>
      </c>
    </row>
    <row r="120" spans="1:3" x14ac:dyDescent="0.35">
      <c r="A120" s="3" t="s">
        <v>143</v>
      </c>
      <c r="B120" s="8">
        <v>180</v>
      </c>
      <c r="C120" s="8">
        <v>1760</v>
      </c>
    </row>
    <row r="121" spans="1:3" x14ac:dyDescent="0.35">
      <c r="A121" s="3" t="s">
        <v>144</v>
      </c>
      <c r="B121" s="8">
        <v>80</v>
      </c>
      <c r="C121" s="8">
        <v>4416</v>
      </c>
    </row>
    <row r="122" spans="1:3" x14ac:dyDescent="0.35">
      <c r="A122" s="3" t="s">
        <v>145</v>
      </c>
      <c r="B122" s="8">
        <v>104</v>
      </c>
      <c r="C122" s="8">
        <v>4428</v>
      </c>
    </row>
    <row r="123" spans="1:3" x14ac:dyDescent="0.35">
      <c r="A123" s="3" t="s">
        <v>146</v>
      </c>
      <c r="B123" s="8">
        <v>213</v>
      </c>
      <c r="C123" s="8">
        <v>4234</v>
      </c>
    </row>
    <row r="124" spans="1:3" x14ac:dyDescent="0.35">
      <c r="A124" s="3" t="s">
        <v>147</v>
      </c>
      <c r="B124" s="8">
        <v>65</v>
      </c>
      <c r="C124" s="8">
        <v>3125</v>
      </c>
    </row>
    <row r="125" spans="1:3" x14ac:dyDescent="0.35">
      <c r="A125" s="3" t="s">
        <v>148</v>
      </c>
      <c r="B125" s="8">
        <v>146</v>
      </c>
      <c r="C125" s="8">
        <v>6136</v>
      </c>
    </row>
    <row r="126" spans="1:3" x14ac:dyDescent="0.35">
      <c r="A126" s="3" t="s">
        <v>149</v>
      </c>
      <c r="B126" s="8">
        <v>135</v>
      </c>
      <c r="C126" s="8">
        <v>4910</v>
      </c>
    </row>
    <row r="127" spans="1:3" x14ac:dyDescent="0.35">
      <c r="A127" s="3" t="s">
        <v>150</v>
      </c>
      <c r="B127" s="8">
        <v>187</v>
      </c>
      <c r="C127" s="8">
        <v>8914</v>
      </c>
    </row>
    <row r="128" spans="1:3" x14ac:dyDescent="0.35">
      <c r="A128" s="3" t="s">
        <v>151</v>
      </c>
      <c r="B128" s="8">
        <v>300</v>
      </c>
      <c r="C128" s="8">
        <v>12500</v>
      </c>
    </row>
    <row r="129" spans="1:3" x14ac:dyDescent="0.35">
      <c r="A129" s="3" t="s">
        <v>152</v>
      </c>
      <c r="B129" s="8">
        <v>120</v>
      </c>
      <c r="C129" s="8">
        <v>4667</v>
      </c>
    </row>
    <row r="130" spans="1:3" x14ac:dyDescent="0.35">
      <c r="A130" s="3" t="s">
        <v>153</v>
      </c>
      <c r="B130" s="8">
        <v>71</v>
      </c>
      <c r="C130" s="8">
        <v>6500</v>
      </c>
    </row>
    <row r="131" spans="1:3" x14ac:dyDescent="0.35">
      <c r="A131" s="3" t="s">
        <v>154</v>
      </c>
      <c r="B131" s="8">
        <v>225</v>
      </c>
      <c r="C131" s="8">
        <v>7500</v>
      </c>
    </row>
    <row r="132" spans="1:3" x14ac:dyDescent="0.35">
      <c r="A132" s="3" t="s">
        <v>155</v>
      </c>
      <c r="B132" s="8">
        <v>70</v>
      </c>
      <c r="C132" s="8">
        <v>3073</v>
      </c>
    </row>
    <row r="133" spans="1:3" x14ac:dyDescent="0.35">
      <c r="A133" s="3" t="s">
        <v>156</v>
      </c>
      <c r="B133" s="8">
        <v>70</v>
      </c>
      <c r="C133" s="8">
        <v>5409</v>
      </c>
    </row>
    <row r="134" spans="1:3" x14ac:dyDescent="0.35">
      <c r="A134" s="3" t="s">
        <v>157</v>
      </c>
      <c r="B134" s="8">
        <v>124</v>
      </c>
      <c r="C134" s="8">
        <v>4603</v>
      </c>
    </row>
    <row r="135" spans="1:3" x14ac:dyDescent="0.35">
      <c r="A135" s="3" t="s">
        <v>158</v>
      </c>
      <c r="B135" s="8">
        <v>132</v>
      </c>
      <c r="C135" s="8">
        <v>3391</v>
      </c>
    </row>
    <row r="136" spans="1:3" x14ac:dyDescent="0.35">
      <c r="A136" s="3" t="s">
        <v>159</v>
      </c>
      <c r="B136" s="8">
        <v>105</v>
      </c>
      <c r="C136" s="8">
        <v>4860</v>
      </c>
    </row>
    <row r="137" spans="1:3" x14ac:dyDescent="0.35">
      <c r="A137" s="3" t="s">
        <v>160</v>
      </c>
      <c r="B137" s="8">
        <v>90</v>
      </c>
      <c r="C137" s="8">
        <v>3620</v>
      </c>
    </row>
    <row r="138" spans="1:3" x14ac:dyDescent="0.35">
      <c r="A138" s="3" t="s">
        <v>161</v>
      </c>
      <c r="B138" s="8">
        <v>83</v>
      </c>
      <c r="C138" s="8">
        <v>4000</v>
      </c>
    </row>
    <row r="139" spans="1:3" x14ac:dyDescent="0.35">
      <c r="A139" s="3" t="s">
        <v>162</v>
      </c>
      <c r="B139" s="8">
        <v>125</v>
      </c>
      <c r="C139" s="8">
        <v>4258</v>
      </c>
    </row>
    <row r="140" spans="1:3" x14ac:dyDescent="0.35">
      <c r="A140" s="3" t="s">
        <v>163</v>
      </c>
      <c r="B140" s="8">
        <v>147</v>
      </c>
      <c r="C140" s="8">
        <v>4500</v>
      </c>
    </row>
    <row r="141" spans="1:3" x14ac:dyDescent="0.35">
      <c r="A141" s="3" t="s">
        <v>164</v>
      </c>
      <c r="B141" s="8">
        <v>120</v>
      </c>
      <c r="C141" s="8">
        <v>4939</v>
      </c>
    </row>
    <row r="142" spans="1:3" x14ac:dyDescent="0.35">
      <c r="A142" s="3" t="s">
        <v>165</v>
      </c>
      <c r="B142" s="8">
        <v>110</v>
      </c>
      <c r="C142" s="8">
        <v>4583</v>
      </c>
    </row>
    <row r="143" spans="1:3" x14ac:dyDescent="0.35">
      <c r="A143" s="3" t="s">
        <v>166</v>
      </c>
      <c r="B143" s="8">
        <v>103</v>
      </c>
      <c r="C143" s="8">
        <v>4083</v>
      </c>
    </row>
    <row r="144" spans="1:3" x14ac:dyDescent="0.35">
      <c r="A144" s="3" t="s">
        <v>167</v>
      </c>
      <c r="B144" s="8">
        <v>150</v>
      </c>
      <c r="C144" s="8">
        <v>4727</v>
      </c>
    </row>
    <row r="145" spans="1:3" x14ac:dyDescent="0.35">
      <c r="A145" s="3" t="s">
        <v>168</v>
      </c>
      <c r="B145" s="8">
        <v>100</v>
      </c>
      <c r="C145" s="8">
        <v>6088</v>
      </c>
    </row>
    <row r="146" spans="1:3" x14ac:dyDescent="0.35">
      <c r="A146" s="3" t="s">
        <v>169</v>
      </c>
      <c r="B146" s="8">
        <v>139</v>
      </c>
      <c r="C146" s="8">
        <v>7322</v>
      </c>
    </row>
    <row r="147" spans="1:3" x14ac:dyDescent="0.35">
      <c r="A147" s="3" t="s">
        <v>170</v>
      </c>
      <c r="B147" s="8">
        <v>550</v>
      </c>
      <c r="C147" s="8">
        <v>32000</v>
      </c>
    </row>
    <row r="148" spans="1:3" x14ac:dyDescent="0.35">
      <c r="A148" s="3" t="s">
        <v>171</v>
      </c>
      <c r="B148" s="8">
        <v>260</v>
      </c>
      <c r="C148" s="8">
        <v>10890</v>
      </c>
    </row>
    <row r="149" spans="1:3" x14ac:dyDescent="0.35">
      <c r="A149" s="3" t="s">
        <v>172</v>
      </c>
      <c r="B149" s="8">
        <v>150</v>
      </c>
      <c r="C149" s="8">
        <v>12941</v>
      </c>
    </row>
    <row r="150" spans="1:3" x14ac:dyDescent="0.35">
      <c r="A150" s="3" t="s">
        <v>173</v>
      </c>
      <c r="B150" s="8">
        <v>90</v>
      </c>
      <c r="C150" s="8">
        <v>3276</v>
      </c>
    </row>
    <row r="151" spans="1:3" x14ac:dyDescent="0.35">
      <c r="A151" s="3" t="s">
        <v>174</v>
      </c>
      <c r="B151" s="8">
        <v>199</v>
      </c>
      <c r="C151" s="8">
        <v>8703</v>
      </c>
    </row>
    <row r="152" spans="1:3" x14ac:dyDescent="0.35">
      <c r="A152" s="3" t="s">
        <v>175</v>
      </c>
      <c r="B152" s="8">
        <v>139</v>
      </c>
      <c r="C152" s="8">
        <v>5459</v>
      </c>
    </row>
    <row r="153" spans="1:3" x14ac:dyDescent="0.35">
      <c r="A153" s="3" t="s">
        <v>176</v>
      </c>
      <c r="B153" s="8">
        <v>150</v>
      </c>
      <c r="C153" s="8">
        <v>5900</v>
      </c>
    </row>
    <row r="154" spans="1:3" x14ac:dyDescent="0.35">
      <c r="A154" s="3" t="s">
        <v>177</v>
      </c>
      <c r="B154" s="8">
        <v>180</v>
      </c>
      <c r="C154" s="8">
        <v>7380</v>
      </c>
    </row>
    <row r="155" spans="1:3" x14ac:dyDescent="0.35">
      <c r="A155" s="3" t="s">
        <v>178</v>
      </c>
      <c r="B155" s="8">
        <v>113</v>
      </c>
      <c r="C155" s="8">
        <v>4239</v>
      </c>
    </row>
    <row r="156" spans="1:3" x14ac:dyDescent="0.35">
      <c r="A156" s="3" t="s">
        <v>179</v>
      </c>
      <c r="B156" s="8">
        <v>148</v>
      </c>
      <c r="C156" s="8">
        <v>5000</v>
      </c>
    </row>
    <row r="157" spans="1:3" x14ac:dyDescent="0.35">
      <c r="A157" s="3" t="s">
        <v>180</v>
      </c>
      <c r="B157" s="8">
        <v>117</v>
      </c>
      <c r="C157" s="8">
        <v>4823</v>
      </c>
    </row>
    <row r="158" spans="1:3" x14ac:dyDescent="0.35">
      <c r="A158" s="3" t="s">
        <v>181</v>
      </c>
      <c r="B158" s="8">
        <v>72</v>
      </c>
      <c r="C158" s="8">
        <v>4855</v>
      </c>
    </row>
    <row r="159" spans="1:3" x14ac:dyDescent="0.35">
      <c r="A159" s="3" t="s">
        <v>182</v>
      </c>
      <c r="B159" s="8">
        <v>125</v>
      </c>
      <c r="C159" s="8">
        <v>4073</v>
      </c>
    </row>
    <row r="160" spans="1:3" x14ac:dyDescent="0.35">
      <c r="A160" s="3" t="s">
        <v>183</v>
      </c>
      <c r="B160" s="8">
        <v>214</v>
      </c>
      <c r="C160" s="8">
        <v>8492</v>
      </c>
    </row>
    <row r="161" spans="1:3" x14ac:dyDescent="0.35">
      <c r="A161" s="3" t="s">
        <v>184</v>
      </c>
      <c r="B161" s="8">
        <v>133</v>
      </c>
      <c r="C161" s="8">
        <v>6624</v>
      </c>
    </row>
    <row r="162" spans="1:3" x14ac:dyDescent="0.35">
      <c r="A162" s="3" t="s">
        <v>185</v>
      </c>
      <c r="B162" s="8">
        <v>187</v>
      </c>
      <c r="C162" s="8">
        <v>8352</v>
      </c>
    </row>
    <row r="163" spans="1:3" x14ac:dyDescent="0.35">
      <c r="A163" s="3" t="s">
        <v>186</v>
      </c>
      <c r="B163" s="8">
        <v>143</v>
      </c>
      <c r="C163" s="8">
        <v>7895</v>
      </c>
    </row>
    <row r="164" spans="1:3" x14ac:dyDescent="0.35">
      <c r="A164" s="3" t="s">
        <v>187</v>
      </c>
      <c r="B164" s="8">
        <v>209</v>
      </c>
      <c r="C164" s="8">
        <v>8406</v>
      </c>
    </row>
    <row r="165" spans="1:3" x14ac:dyDescent="0.35">
      <c r="A165" s="3" t="s">
        <v>188</v>
      </c>
      <c r="B165" s="8">
        <v>84</v>
      </c>
      <c r="C165" s="8">
        <v>2964</v>
      </c>
    </row>
    <row r="166" spans="1:3" x14ac:dyDescent="0.35">
      <c r="A166" s="3" t="s">
        <v>189</v>
      </c>
      <c r="B166" s="8">
        <v>116</v>
      </c>
      <c r="C166" s="8">
        <v>5583</v>
      </c>
    </row>
    <row r="167" spans="1:3" x14ac:dyDescent="0.35">
      <c r="A167" s="3" t="s">
        <v>190</v>
      </c>
      <c r="B167" s="8">
        <v>65</v>
      </c>
      <c r="C167" s="8">
        <v>2708</v>
      </c>
    </row>
    <row r="168" spans="1:3" x14ac:dyDescent="0.35">
      <c r="A168" s="3" t="s">
        <v>191</v>
      </c>
      <c r="B168" s="8">
        <v>80</v>
      </c>
      <c r="C168" s="8">
        <v>5550</v>
      </c>
    </row>
    <row r="169" spans="1:3" x14ac:dyDescent="0.35">
      <c r="A169" s="3" t="s">
        <v>192</v>
      </c>
      <c r="B169" s="8">
        <v>170</v>
      </c>
      <c r="C169" s="8">
        <v>2268</v>
      </c>
    </row>
    <row r="170" spans="1:3" x14ac:dyDescent="0.35">
      <c r="A170" s="3" t="s">
        <v>193</v>
      </c>
      <c r="B170" s="8">
        <v>120</v>
      </c>
      <c r="C170" s="8">
        <v>3158</v>
      </c>
    </row>
    <row r="171" spans="1:3" x14ac:dyDescent="0.35">
      <c r="A171" s="3" t="s">
        <v>194</v>
      </c>
      <c r="B171" s="8">
        <v>135</v>
      </c>
      <c r="C171" s="8">
        <v>6209</v>
      </c>
    </row>
    <row r="172" spans="1:3" x14ac:dyDescent="0.35">
      <c r="A172" s="3" t="s">
        <v>195</v>
      </c>
      <c r="B172" s="8">
        <v>94</v>
      </c>
      <c r="C172" s="8">
        <v>4685</v>
      </c>
    </row>
    <row r="173" spans="1:3" x14ac:dyDescent="0.35">
      <c r="A173" s="3" t="s">
        <v>196</v>
      </c>
      <c r="B173" s="8">
        <v>79</v>
      </c>
      <c r="C173" s="8">
        <v>3564</v>
      </c>
    </row>
    <row r="174" spans="1:3" x14ac:dyDescent="0.35">
      <c r="A174" s="3" t="s">
        <v>197</v>
      </c>
      <c r="B174" s="8">
        <v>110</v>
      </c>
      <c r="C174" s="8">
        <v>3958</v>
      </c>
    </row>
    <row r="175" spans="1:3" x14ac:dyDescent="0.35">
      <c r="A175" s="3" t="s">
        <v>198</v>
      </c>
      <c r="B175" s="8">
        <v>130</v>
      </c>
      <c r="C175" s="8">
        <v>4483</v>
      </c>
    </row>
    <row r="176" spans="1:3" x14ac:dyDescent="0.35">
      <c r="A176" s="3" t="s">
        <v>199</v>
      </c>
      <c r="B176" s="8">
        <v>143</v>
      </c>
      <c r="C176" s="8">
        <v>5225</v>
      </c>
    </row>
    <row r="177" spans="1:3" x14ac:dyDescent="0.35">
      <c r="A177" s="3" t="s">
        <v>200</v>
      </c>
      <c r="B177" s="8">
        <v>159</v>
      </c>
      <c r="C177" s="8">
        <v>5862</v>
      </c>
    </row>
    <row r="178" spans="1:3" x14ac:dyDescent="0.35">
      <c r="A178" s="3" t="s">
        <v>201</v>
      </c>
      <c r="B178" s="8">
        <v>110</v>
      </c>
      <c r="C178" s="8">
        <v>4251</v>
      </c>
    </row>
    <row r="179" spans="1:3" x14ac:dyDescent="0.35">
      <c r="A179" s="3" t="s">
        <v>202</v>
      </c>
      <c r="B179" s="8">
        <v>160</v>
      </c>
      <c r="C179" s="8">
        <v>9526</v>
      </c>
    </row>
    <row r="180" spans="1:3" x14ac:dyDescent="0.35">
      <c r="A180" s="3" t="s">
        <v>203</v>
      </c>
      <c r="B180" s="8">
        <v>131</v>
      </c>
      <c r="C180" s="8">
        <v>5833</v>
      </c>
    </row>
    <row r="181" spans="1:3" x14ac:dyDescent="0.35">
      <c r="A181" s="3" t="s">
        <v>204</v>
      </c>
      <c r="B181" s="8">
        <v>65</v>
      </c>
      <c r="C181" s="8">
        <v>2918</v>
      </c>
    </row>
    <row r="182" spans="1:3" x14ac:dyDescent="0.35">
      <c r="A182" s="3" t="s">
        <v>205</v>
      </c>
      <c r="B182" s="8">
        <v>143</v>
      </c>
      <c r="C182" s="8">
        <v>5128</v>
      </c>
    </row>
    <row r="183" spans="1:3" x14ac:dyDescent="0.35">
      <c r="A183" s="3" t="s">
        <v>206</v>
      </c>
      <c r="B183" s="8">
        <v>187</v>
      </c>
      <c r="C183" s="8">
        <v>15312</v>
      </c>
    </row>
    <row r="184" spans="1:3" x14ac:dyDescent="0.35">
      <c r="A184" s="3" t="s">
        <v>207</v>
      </c>
      <c r="B184" s="8">
        <v>160</v>
      </c>
      <c r="C184" s="8">
        <v>6590</v>
      </c>
    </row>
    <row r="185" spans="1:3" x14ac:dyDescent="0.35">
      <c r="A185" s="3" t="s">
        <v>208</v>
      </c>
      <c r="B185" s="8">
        <v>165</v>
      </c>
      <c r="C185" s="8">
        <v>7279</v>
      </c>
    </row>
    <row r="186" spans="1:3" x14ac:dyDescent="0.35">
      <c r="A186" s="3" t="s">
        <v>209</v>
      </c>
      <c r="B186" s="8">
        <v>110</v>
      </c>
      <c r="C186" s="8">
        <v>4358</v>
      </c>
    </row>
    <row r="187" spans="1:3" x14ac:dyDescent="0.35">
      <c r="A187" s="3" t="s">
        <v>210</v>
      </c>
      <c r="B187" s="8">
        <v>173</v>
      </c>
      <c r="C187" s="8">
        <v>7917</v>
      </c>
    </row>
    <row r="188" spans="1:3" x14ac:dyDescent="0.35">
      <c r="A188" s="3" t="s">
        <v>211</v>
      </c>
      <c r="B188" s="8">
        <v>150</v>
      </c>
      <c r="C188" s="8">
        <v>10916</v>
      </c>
    </row>
    <row r="189" spans="1:3" x14ac:dyDescent="0.35">
      <c r="A189" s="3" t="s">
        <v>212</v>
      </c>
      <c r="B189" s="8">
        <v>135</v>
      </c>
      <c r="C189" s="8">
        <v>4483</v>
      </c>
    </row>
    <row r="190" spans="1:3" x14ac:dyDescent="0.35">
      <c r="A190" s="3" t="s">
        <v>213</v>
      </c>
      <c r="B190" s="8">
        <v>150</v>
      </c>
      <c r="C190" s="8">
        <v>5705</v>
      </c>
    </row>
    <row r="191" spans="1:3" x14ac:dyDescent="0.35">
      <c r="A191" s="3" t="s">
        <v>214</v>
      </c>
      <c r="B191" s="8">
        <v>235</v>
      </c>
      <c r="C191" s="8">
        <v>9167</v>
      </c>
    </row>
    <row r="192" spans="1:3" x14ac:dyDescent="0.35">
      <c r="A192" s="3" t="s">
        <v>215</v>
      </c>
      <c r="B192" s="8">
        <v>125</v>
      </c>
      <c r="C192" s="8">
        <v>13083</v>
      </c>
    </row>
    <row r="193" spans="1:3" x14ac:dyDescent="0.35">
      <c r="A193" s="3" t="s">
        <v>216</v>
      </c>
      <c r="B193" s="8">
        <v>336</v>
      </c>
      <c r="C193" s="8">
        <v>11841</v>
      </c>
    </row>
    <row r="194" spans="1:3" x14ac:dyDescent="0.35">
      <c r="A194" s="3" t="s">
        <v>217</v>
      </c>
      <c r="B194" s="8">
        <v>132</v>
      </c>
      <c r="C194" s="8">
        <v>4333</v>
      </c>
    </row>
    <row r="195" spans="1:3" x14ac:dyDescent="0.35">
      <c r="A195" s="3" t="s">
        <v>218</v>
      </c>
      <c r="B195" s="8">
        <v>96</v>
      </c>
      <c r="C195" s="8">
        <v>4083</v>
      </c>
    </row>
    <row r="196" spans="1:3" x14ac:dyDescent="0.35">
      <c r="A196" s="3" t="s">
        <v>219</v>
      </c>
      <c r="B196" s="8">
        <v>180</v>
      </c>
      <c r="C196" s="8">
        <v>6697</v>
      </c>
    </row>
    <row r="197" spans="1:3" x14ac:dyDescent="0.35">
      <c r="A197" s="3" t="s">
        <v>220</v>
      </c>
      <c r="B197" s="8">
        <v>128</v>
      </c>
      <c r="C197" s="8">
        <v>4652</v>
      </c>
    </row>
    <row r="198" spans="1:3" x14ac:dyDescent="0.35">
      <c r="A198" s="3" t="s">
        <v>221</v>
      </c>
      <c r="B198" s="8">
        <v>412</v>
      </c>
      <c r="C198" s="8">
        <v>12690</v>
      </c>
    </row>
    <row r="199" spans="1:3" x14ac:dyDescent="0.35">
      <c r="A199" s="3" t="s">
        <v>222</v>
      </c>
      <c r="B199" s="8">
        <v>116</v>
      </c>
      <c r="C199" s="8">
        <v>5833</v>
      </c>
    </row>
    <row r="200" spans="1:3" x14ac:dyDescent="0.35">
      <c r="A200" s="3" t="s">
        <v>223</v>
      </c>
      <c r="B200" s="8">
        <v>114</v>
      </c>
      <c r="C200" s="8">
        <v>4796</v>
      </c>
    </row>
    <row r="201" spans="1:3" x14ac:dyDescent="0.35">
      <c r="A201" s="3" t="s">
        <v>224</v>
      </c>
      <c r="B201" s="8">
        <v>115</v>
      </c>
      <c r="C201" s="8">
        <v>3600</v>
      </c>
    </row>
    <row r="202" spans="1:3" x14ac:dyDescent="0.35">
      <c r="A202" s="3" t="s">
        <v>225</v>
      </c>
      <c r="B202" s="8">
        <v>104</v>
      </c>
      <c r="C202" s="8">
        <v>3240</v>
      </c>
    </row>
    <row r="203" spans="1:3" x14ac:dyDescent="0.35">
      <c r="A203" s="3" t="s">
        <v>226</v>
      </c>
      <c r="B203" s="8">
        <v>88</v>
      </c>
      <c r="C203" s="8">
        <v>3342</v>
      </c>
    </row>
    <row r="204" spans="1:3" x14ac:dyDescent="0.35">
      <c r="A204" s="3" t="s">
        <v>227</v>
      </c>
      <c r="B204" s="8">
        <v>108</v>
      </c>
      <c r="C204" s="8">
        <v>8706</v>
      </c>
    </row>
    <row r="205" spans="1:3" x14ac:dyDescent="0.35">
      <c r="A205" s="3" t="s">
        <v>228</v>
      </c>
      <c r="B205" s="8">
        <v>90</v>
      </c>
      <c r="C205" s="8">
        <v>3397</v>
      </c>
    </row>
    <row r="206" spans="1:3" x14ac:dyDescent="0.35">
      <c r="A206" s="3" t="s">
        <v>229</v>
      </c>
      <c r="B206" s="8">
        <v>100</v>
      </c>
      <c r="C206" s="8">
        <v>4316</v>
      </c>
    </row>
    <row r="207" spans="1:3" x14ac:dyDescent="0.35">
      <c r="A207" s="3" t="s">
        <v>230</v>
      </c>
      <c r="B207" s="8">
        <v>108</v>
      </c>
      <c r="C207" s="8">
        <v>5533</v>
      </c>
    </row>
    <row r="208" spans="1:3" x14ac:dyDescent="0.35">
      <c r="A208" s="3" t="s">
        <v>231</v>
      </c>
      <c r="B208" s="8">
        <v>78</v>
      </c>
      <c r="C208" s="8">
        <v>3089</v>
      </c>
    </row>
    <row r="209" spans="1:3" x14ac:dyDescent="0.35">
      <c r="A209" s="3" t="s">
        <v>232</v>
      </c>
      <c r="B209" s="8">
        <v>123</v>
      </c>
      <c r="C209" s="8">
        <v>5030</v>
      </c>
    </row>
    <row r="210" spans="1:3" x14ac:dyDescent="0.35">
      <c r="A210" s="3" t="s">
        <v>233</v>
      </c>
      <c r="B210" s="8">
        <v>187</v>
      </c>
      <c r="C210" s="8">
        <v>7560</v>
      </c>
    </row>
    <row r="211" spans="1:3" x14ac:dyDescent="0.35">
      <c r="A211" s="3" t="s">
        <v>234</v>
      </c>
      <c r="B211" s="8">
        <v>146</v>
      </c>
      <c r="C211" s="8">
        <v>4157</v>
      </c>
    </row>
    <row r="212" spans="1:3" x14ac:dyDescent="0.35">
      <c r="A212" s="3" t="s">
        <v>235</v>
      </c>
      <c r="B212" s="8">
        <v>80</v>
      </c>
      <c r="C212" s="8">
        <v>4213</v>
      </c>
    </row>
    <row r="213" spans="1:3" x14ac:dyDescent="0.35">
      <c r="A213" s="3" t="s">
        <v>236</v>
      </c>
      <c r="B213" s="8">
        <v>100</v>
      </c>
      <c r="C213" s="8">
        <v>6065</v>
      </c>
    </row>
    <row r="214" spans="1:3" x14ac:dyDescent="0.35">
      <c r="A214" s="3" t="s">
        <v>237</v>
      </c>
      <c r="B214" s="8">
        <v>55</v>
      </c>
      <c r="C214" s="8">
        <v>2362</v>
      </c>
    </row>
    <row r="215" spans="1:3" x14ac:dyDescent="0.35">
      <c r="A215" s="3" t="s">
        <v>238</v>
      </c>
      <c r="B215" s="8">
        <v>200</v>
      </c>
      <c r="C215" s="8">
        <v>7733</v>
      </c>
    </row>
    <row r="216" spans="1:3" x14ac:dyDescent="0.35">
      <c r="A216" s="3" t="s">
        <v>239</v>
      </c>
      <c r="B216" s="8">
        <v>150</v>
      </c>
      <c r="C216" s="8">
        <v>5384</v>
      </c>
    </row>
    <row r="217" spans="1:3" x14ac:dyDescent="0.35">
      <c r="A217" s="3" t="s">
        <v>240</v>
      </c>
      <c r="B217" s="8">
        <v>150</v>
      </c>
      <c r="C217" s="8">
        <v>5708</v>
      </c>
    </row>
    <row r="218" spans="1:3" x14ac:dyDescent="0.35">
      <c r="A218" s="3" t="s">
        <v>241</v>
      </c>
      <c r="B218" s="8">
        <v>118</v>
      </c>
      <c r="C218" s="8">
        <v>7473</v>
      </c>
    </row>
    <row r="219" spans="1:3" x14ac:dyDescent="0.35">
      <c r="A219" s="3" t="s">
        <v>242</v>
      </c>
      <c r="B219" s="8">
        <v>150</v>
      </c>
      <c r="C219" s="8">
        <v>5044</v>
      </c>
    </row>
    <row r="220" spans="1:3" x14ac:dyDescent="0.35">
      <c r="A220" s="3" t="s">
        <v>243</v>
      </c>
      <c r="B220" s="8">
        <v>118</v>
      </c>
      <c r="C220" s="8">
        <v>5205</v>
      </c>
    </row>
    <row r="221" spans="1:3" x14ac:dyDescent="0.35">
      <c r="A221" s="3" t="s">
        <v>244</v>
      </c>
      <c r="B221" s="8">
        <v>212</v>
      </c>
      <c r="C221" s="8">
        <v>10013</v>
      </c>
    </row>
    <row r="222" spans="1:3" x14ac:dyDescent="0.35">
      <c r="A222" s="3" t="s">
        <v>245</v>
      </c>
      <c r="B222" s="8">
        <v>212</v>
      </c>
      <c r="C222" s="8">
        <v>6655</v>
      </c>
    </row>
    <row r="223" spans="1:3" x14ac:dyDescent="0.35">
      <c r="A223" s="3" t="s">
        <v>246</v>
      </c>
      <c r="B223" s="8">
        <v>125</v>
      </c>
      <c r="C223" s="8">
        <v>5886</v>
      </c>
    </row>
    <row r="224" spans="1:3" x14ac:dyDescent="0.35">
      <c r="A224" s="3" t="s">
        <v>247</v>
      </c>
      <c r="B224" s="8">
        <v>108</v>
      </c>
      <c r="C224" s="8">
        <v>4332</v>
      </c>
    </row>
    <row r="225" spans="1:3" x14ac:dyDescent="0.35">
      <c r="A225" s="3" t="s">
        <v>248</v>
      </c>
      <c r="B225" s="8">
        <v>149</v>
      </c>
      <c r="C225" s="8">
        <v>5668</v>
      </c>
    </row>
    <row r="226" spans="1:3" x14ac:dyDescent="0.35">
      <c r="A226" s="3" t="s">
        <v>249</v>
      </c>
      <c r="B226" s="8">
        <v>80</v>
      </c>
      <c r="C226" s="8">
        <v>2896</v>
      </c>
    </row>
    <row r="227" spans="1:3" x14ac:dyDescent="0.35">
      <c r="A227" s="3" t="s">
        <v>250</v>
      </c>
      <c r="B227" s="8">
        <v>152</v>
      </c>
      <c r="C227" s="8">
        <v>5062</v>
      </c>
    </row>
    <row r="228" spans="1:3" x14ac:dyDescent="0.35">
      <c r="A228" s="3" t="s">
        <v>251</v>
      </c>
      <c r="B228" s="8">
        <v>187</v>
      </c>
      <c r="C228" s="8">
        <v>5184</v>
      </c>
    </row>
    <row r="229" spans="1:3" x14ac:dyDescent="0.35">
      <c r="A229" s="3" t="s">
        <v>252</v>
      </c>
      <c r="B229" s="8">
        <v>74</v>
      </c>
      <c r="C229" s="8">
        <v>2545</v>
      </c>
    </row>
    <row r="230" spans="1:3" x14ac:dyDescent="0.35">
      <c r="A230" s="3" t="s">
        <v>253</v>
      </c>
      <c r="B230" s="8">
        <v>102</v>
      </c>
      <c r="C230" s="8">
        <v>4321</v>
      </c>
    </row>
    <row r="231" spans="1:3" x14ac:dyDescent="0.35">
      <c r="A231" s="3" t="s">
        <v>254</v>
      </c>
      <c r="B231" s="8">
        <v>100</v>
      </c>
      <c r="C231" s="8">
        <v>7245</v>
      </c>
    </row>
    <row r="232" spans="1:3" x14ac:dyDescent="0.35">
      <c r="A232" s="3" t="s">
        <v>255</v>
      </c>
      <c r="B232" s="8">
        <v>130</v>
      </c>
      <c r="C232" s="8">
        <v>5167</v>
      </c>
    </row>
    <row r="233" spans="1:3" x14ac:dyDescent="0.35">
      <c r="A233" s="3" t="s">
        <v>256</v>
      </c>
      <c r="B233" s="8">
        <v>125</v>
      </c>
      <c r="C233" s="8">
        <v>5180</v>
      </c>
    </row>
    <row r="234" spans="1:3" x14ac:dyDescent="0.35">
      <c r="A234" s="3" t="s">
        <v>257</v>
      </c>
      <c r="B234" s="8">
        <v>130</v>
      </c>
      <c r="C234" s="8">
        <v>29418</v>
      </c>
    </row>
    <row r="235" spans="1:3" x14ac:dyDescent="0.35">
      <c r="A235" s="3" t="s">
        <v>258</v>
      </c>
      <c r="B235" s="8">
        <v>138</v>
      </c>
      <c r="C235" s="8">
        <v>5848</v>
      </c>
    </row>
    <row r="236" spans="1:3" x14ac:dyDescent="0.35">
      <c r="A236" s="3" t="s">
        <v>259</v>
      </c>
      <c r="B236" s="8">
        <v>28</v>
      </c>
      <c r="C236" s="8">
        <v>2767</v>
      </c>
    </row>
    <row r="237" spans="1:3" x14ac:dyDescent="0.35">
      <c r="A237" s="3" t="s">
        <v>260</v>
      </c>
      <c r="B237" s="8">
        <v>92</v>
      </c>
      <c r="C237" s="8">
        <v>7600</v>
      </c>
    </row>
    <row r="238" spans="1:3" x14ac:dyDescent="0.35">
      <c r="A238" s="3" t="s">
        <v>261</v>
      </c>
      <c r="B238" s="8">
        <v>104</v>
      </c>
      <c r="C238" s="8">
        <v>3945</v>
      </c>
    </row>
    <row r="239" spans="1:3" x14ac:dyDescent="0.35">
      <c r="A239" s="3" t="s">
        <v>262</v>
      </c>
      <c r="B239" s="8">
        <v>176</v>
      </c>
      <c r="C239" s="8">
        <v>5005</v>
      </c>
    </row>
    <row r="240" spans="1:3" x14ac:dyDescent="0.35">
      <c r="A240" s="3" t="s">
        <v>263</v>
      </c>
      <c r="B240" s="8">
        <v>117</v>
      </c>
      <c r="C240" s="8">
        <v>7485</v>
      </c>
    </row>
    <row r="241" spans="1:3" x14ac:dyDescent="0.35">
      <c r="A241" s="3" t="s">
        <v>264</v>
      </c>
      <c r="B241" s="8">
        <v>102</v>
      </c>
      <c r="C241" s="8">
        <v>20149</v>
      </c>
    </row>
    <row r="242" spans="1:3" x14ac:dyDescent="0.35">
      <c r="A242" s="3" t="s">
        <v>265</v>
      </c>
      <c r="B242" s="8">
        <v>107</v>
      </c>
      <c r="C242" s="8">
        <v>3623</v>
      </c>
    </row>
    <row r="243" spans="1:3" x14ac:dyDescent="0.35">
      <c r="A243" s="3" t="s">
        <v>266</v>
      </c>
      <c r="B243" s="8">
        <v>66</v>
      </c>
      <c r="C243" s="8">
        <v>4333</v>
      </c>
    </row>
    <row r="244" spans="1:3" x14ac:dyDescent="0.35">
      <c r="A244" s="3" t="s">
        <v>267</v>
      </c>
      <c r="B244" s="8">
        <v>105</v>
      </c>
      <c r="C244" s="8">
        <v>3844</v>
      </c>
    </row>
    <row r="245" spans="1:3" x14ac:dyDescent="0.35">
      <c r="A245" s="3" t="s">
        <v>268</v>
      </c>
      <c r="B245" s="8">
        <v>105</v>
      </c>
      <c r="C245" s="8">
        <v>5404</v>
      </c>
    </row>
    <row r="246" spans="1:3" x14ac:dyDescent="0.35">
      <c r="A246" s="3" t="s">
        <v>269</v>
      </c>
      <c r="B246" s="8">
        <v>105</v>
      </c>
      <c r="C246" s="8">
        <v>4338</v>
      </c>
    </row>
    <row r="247" spans="1:3" x14ac:dyDescent="0.35">
      <c r="A247" s="3" t="s">
        <v>270</v>
      </c>
      <c r="B247" s="8">
        <v>125</v>
      </c>
      <c r="C247" s="8">
        <v>4243</v>
      </c>
    </row>
    <row r="248" spans="1:3" x14ac:dyDescent="0.35">
      <c r="A248" s="3" t="s">
        <v>271</v>
      </c>
      <c r="B248" s="8">
        <v>64</v>
      </c>
      <c r="C248" s="8">
        <v>2107</v>
      </c>
    </row>
    <row r="249" spans="1:3" x14ac:dyDescent="0.35">
      <c r="A249" s="3" t="s">
        <v>272</v>
      </c>
      <c r="B249" s="8">
        <v>150</v>
      </c>
      <c r="C249" s="8">
        <v>6331</v>
      </c>
    </row>
    <row r="250" spans="1:3" x14ac:dyDescent="0.35">
      <c r="A250" s="3" t="s">
        <v>273</v>
      </c>
      <c r="B250" s="8">
        <v>150</v>
      </c>
      <c r="C250" s="8">
        <v>7166</v>
      </c>
    </row>
    <row r="251" spans="1:3" x14ac:dyDescent="0.35">
      <c r="A251" s="3" t="s">
        <v>274</v>
      </c>
      <c r="B251" s="8">
        <v>125</v>
      </c>
      <c r="C251" s="8">
        <v>10000</v>
      </c>
    </row>
    <row r="252" spans="1:3" x14ac:dyDescent="0.35">
      <c r="A252" s="3" t="s">
        <v>275</v>
      </c>
      <c r="B252" s="8">
        <v>64</v>
      </c>
      <c r="C252" s="8">
        <v>3943</v>
      </c>
    </row>
    <row r="253" spans="1:3" x14ac:dyDescent="0.35">
      <c r="A253" s="3" t="s">
        <v>276</v>
      </c>
      <c r="B253" s="8">
        <v>40</v>
      </c>
      <c r="C253" s="8">
        <v>2925</v>
      </c>
    </row>
    <row r="254" spans="1:3" x14ac:dyDescent="0.35">
      <c r="A254" s="3" t="s">
        <v>277</v>
      </c>
      <c r="B254" s="8">
        <v>142</v>
      </c>
      <c r="C254" s="8">
        <v>3679</v>
      </c>
    </row>
    <row r="255" spans="1:3" x14ac:dyDescent="0.35">
      <c r="A255" s="3" t="s">
        <v>278</v>
      </c>
      <c r="B255" s="8">
        <v>70</v>
      </c>
      <c r="C255" s="8">
        <v>3863</v>
      </c>
    </row>
    <row r="256" spans="1:3" x14ac:dyDescent="0.35">
      <c r="A256" s="3" t="s">
        <v>279</v>
      </c>
      <c r="B256" s="8">
        <v>131</v>
      </c>
      <c r="C256" s="8">
        <v>4028</v>
      </c>
    </row>
    <row r="257" spans="1:3" x14ac:dyDescent="0.35">
      <c r="A257" s="3" t="s">
        <v>280</v>
      </c>
      <c r="B257" s="8">
        <v>120</v>
      </c>
      <c r="C257" s="8">
        <v>5035</v>
      </c>
    </row>
    <row r="258" spans="1:3" x14ac:dyDescent="0.35">
      <c r="A258" s="3" t="s">
        <v>281</v>
      </c>
      <c r="B258" s="8">
        <v>114</v>
      </c>
      <c r="C258" s="8">
        <v>5304</v>
      </c>
    </row>
    <row r="259" spans="1:3" x14ac:dyDescent="0.35">
      <c r="A259" s="3" t="s">
        <v>282</v>
      </c>
      <c r="B259" s="8">
        <v>123</v>
      </c>
      <c r="C259" s="8">
        <v>2858</v>
      </c>
    </row>
    <row r="260" spans="1:3" x14ac:dyDescent="0.35">
      <c r="A260" s="3" t="s">
        <v>283</v>
      </c>
      <c r="B260" s="8">
        <v>92</v>
      </c>
      <c r="C260" s="8">
        <v>3833</v>
      </c>
    </row>
    <row r="261" spans="1:3" x14ac:dyDescent="0.35">
      <c r="A261" s="3" t="s">
        <v>284</v>
      </c>
      <c r="B261" s="8">
        <v>160</v>
      </c>
      <c r="C261" s="8">
        <v>7621</v>
      </c>
    </row>
    <row r="262" spans="1:3" x14ac:dyDescent="0.35">
      <c r="A262" s="3" t="s">
        <v>285</v>
      </c>
      <c r="B262" s="8">
        <v>151</v>
      </c>
      <c r="C262" s="8">
        <v>6732</v>
      </c>
    </row>
    <row r="263" spans="1:3" x14ac:dyDescent="0.35">
      <c r="A263" s="3" t="s">
        <v>286</v>
      </c>
      <c r="B263" s="8">
        <v>81</v>
      </c>
      <c r="C263" s="8">
        <v>6433</v>
      </c>
    </row>
    <row r="264" spans="1:3" x14ac:dyDescent="0.35">
      <c r="A264" s="3" t="s">
        <v>287</v>
      </c>
      <c r="B264" s="8">
        <v>171</v>
      </c>
      <c r="C264" s="8">
        <v>5411</v>
      </c>
    </row>
    <row r="265" spans="1:3" x14ac:dyDescent="0.35">
      <c r="A265" s="3" t="s">
        <v>288</v>
      </c>
      <c r="B265" s="8">
        <v>110</v>
      </c>
      <c r="C265" s="8">
        <v>4532</v>
      </c>
    </row>
    <row r="266" spans="1:3" x14ac:dyDescent="0.35">
      <c r="A266" s="3" t="s">
        <v>289</v>
      </c>
      <c r="B266" s="8">
        <v>100</v>
      </c>
      <c r="C266" s="8">
        <v>4155</v>
      </c>
    </row>
    <row r="267" spans="1:3" x14ac:dyDescent="0.35">
      <c r="A267" s="3" t="s">
        <v>290</v>
      </c>
      <c r="B267" s="8">
        <v>234</v>
      </c>
      <c r="C267" s="8">
        <v>18840</v>
      </c>
    </row>
    <row r="268" spans="1:3" x14ac:dyDescent="0.35">
      <c r="A268" s="3" t="s">
        <v>291</v>
      </c>
      <c r="B268" s="8">
        <v>184</v>
      </c>
      <c r="C268" s="8">
        <v>4115</v>
      </c>
    </row>
    <row r="269" spans="1:3" x14ac:dyDescent="0.35">
      <c r="A269" s="3" t="s">
        <v>292</v>
      </c>
      <c r="B269" s="8">
        <v>138</v>
      </c>
      <c r="C269" s="8">
        <v>6887</v>
      </c>
    </row>
    <row r="270" spans="1:3" x14ac:dyDescent="0.35">
      <c r="A270" s="3" t="s">
        <v>293</v>
      </c>
      <c r="B270" s="8">
        <v>112</v>
      </c>
      <c r="C270" s="8">
        <v>5235</v>
      </c>
    </row>
    <row r="271" spans="1:3" x14ac:dyDescent="0.35">
      <c r="A271" s="3" t="s">
        <v>294</v>
      </c>
      <c r="B271" s="8">
        <v>117</v>
      </c>
      <c r="C271" s="8">
        <v>7429</v>
      </c>
    </row>
    <row r="272" spans="1:3" x14ac:dyDescent="0.35">
      <c r="A272" s="3" t="s">
        <v>295</v>
      </c>
      <c r="B272" s="8">
        <v>49</v>
      </c>
      <c r="C272" s="8">
        <v>6583</v>
      </c>
    </row>
    <row r="273" spans="1:3" x14ac:dyDescent="0.35">
      <c r="A273" s="3" t="s">
        <v>296</v>
      </c>
      <c r="B273" s="8">
        <v>99</v>
      </c>
      <c r="C273" s="8">
        <v>3508</v>
      </c>
    </row>
    <row r="274" spans="1:3" x14ac:dyDescent="0.35">
      <c r="A274" s="3" t="s">
        <v>297</v>
      </c>
      <c r="B274" s="8">
        <v>99</v>
      </c>
      <c r="C274" s="8">
        <v>4079</v>
      </c>
    </row>
    <row r="275" spans="1:3" x14ac:dyDescent="0.35">
      <c r="A275" s="3" t="s">
        <v>298</v>
      </c>
      <c r="B275" s="8">
        <v>212</v>
      </c>
      <c r="C275" s="8">
        <v>7249</v>
      </c>
    </row>
    <row r="276" spans="1:3" x14ac:dyDescent="0.35">
      <c r="A276" s="3" t="s">
        <v>299</v>
      </c>
      <c r="B276" s="8">
        <v>240</v>
      </c>
      <c r="C276" s="8">
        <v>24797</v>
      </c>
    </row>
    <row r="277" spans="1:3" x14ac:dyDescent="0.35">
      <c r="A277" s="3" t="s">
        <v>300</v>
      </c>
      <c r="B277" s="8">
        <v>130</v>
      </c>
      <c r="C277" s="8">
        <v>6107</v>
      </c>
    </row>
    <row r="278" spans="1:3" x14ac:dyDescent="0.35">
      <c r="A278" s="3" t="s">
        <v>301</v>
      </c>
      <c r="B278" s="8">
        <v>94</v>
      </c>
      <c r="C278" s="8">
        <v>3500</v>
      </c>
    </row>
    <row r="279" spans="1:3" x14ac:dyDescent="0.35">
      <c r="A279" s="3" t="s">
        <v>302</v>
      </c>
      <c r="B279" s="8">
        <v>108</v>
      </c>
      <c r="C279" s="8">
        <v>4270</v>
      </c>
    </row>
    <row r="280" spans="1:3" x14ac:dyDescent="0.35">
      <c r="A280" s="3" t="s">
        <v>303</v>
      </c>
      <c r="B280" s="8">
        <v>144</v>
      </c>
      <c r="C280" s="8">
        <v>6500</v>
      </c>
    </row>
    <row r="281" spans="1:3" x14ac:dyDescent="0.35">
      <c r="A281" s="3" t="s">
        <v>304</v>
      </c>
      <c r="B281" s="8">
        <v>110</v>
      </c>
      <c r="C281" s="8">
        <v>5769</v>
      </c>
    </row>
    <row r="282" spans="1:3" x14ac:dyDescent="0.35">
      <c r="A282" s="3" t="s">
        <v>305</v>
      </c>
      <c r="B282" s="8">
        <v>176</v>
      </c>
      <c r="C282" s="8">
        <v>4544</v>
      </c>
    </row>
    <row r="283" spans="1:3" x14ac:dyDescent="0.35">
      <c r="A283" s="3" t="s">
        <v>306</v>
      </c>
      <c r="B283" s="8">
        <v>185</v>
      </c>
      <c r="C283" s="8">
        <v>29167</v>
      </c>
    </row>
    <row r="284" spans="1:3" x14ac:dyDescent="0.35">
      <c r="A284" s="3" t="s">
        <v>307</v>
      </c>
      <c r="B284" s="8">
        <v>122</v>
      </c>
      <c r="C284" s="8">
        <v>4223</v>
      </c>
    </row>
    <row r="285" spans="1:3" x14ac:dyDescent="0.35">
      <c r="A285" s="3" t="s">
        <v>308</v>
      </c>
      <c r="B285" s="8">
        <v>126</v>
      </c>
      <c r="C285" s="8">
        <v>5000</v>
      </c>
    </row>
    <row r="286" spans="1:3" x14ac:dyDescent="0.35">
      <c r="A286" s="3" t="s">
        <v>309</v>
      </c>
      <c r="B286" s="8">
        <v>135</v>
      </c>
      <c r="C286" s="8">
        <v>5530</v>
      </c>
    </row>
    <row r="287" spans="1:3" x14ac:dyDescent="0.35">
      <c r="A287" s="3" t="s">
        <v>310</v>
      </c>
      <c r="B287" s="8">
        <v>122</v>
      </c>
      <c r="C287" s="8">
        <v>9000</v>
      </c>
    </row>
    <row r="288" spans="1:3" x14ac:dyDescent="0.35">
      <c r="A288" s="3" t="s">
        <v>311</v>
      </c>
      <c r="B288" s="8">
        <v>460</v>
      </c>
      <c r="C288" s="8">
        <v>21666</v>
      </c>
    </row>
    <row r="289" spans="1:3" x14ac:dyDescent="0.35">
      <c r="A289" s="3" t="s">
        <v>312</v>
      </c>
      <c r="B289" s="8">
        <v>297</v>
      </c>
      <c r="C289" s="8">
        <v>8750</v>
      </c>
    </row>
    <row r="290" spans="1:3" x14ac:dyDescent="0.35">
      <c r="A290" s="3" t="s">
        <v>313</v>
      </c>
      <c r="B290" s="8">
        <v>140</v>
      </c>
      <c r="C290" s="8">
        <v>4887</v>
      </c>
    </row>
    <row r="291" spans="1:3" x14ac:dyDescent="0.35">
      <c r="A291" s="3" t="s">
        <v>314</v>
      </c>
      <c r="B291" s="8">
        <v>106</v>
      </c>
      <c r="C291" s="8">
        <v>6319</v>
      </c>
    </row>
    <row r="292" spans="1:3" x14ac:dyDescent="0.35">
      <c r="A292" s="3" t="s">
        <v>315</v>
      </c>
      <c r="B292" s="8">
        <v>141</v>
      </c>
      <c r="C292" s="8">
        <v>4983</v>
      </c>
    </row>
    <row r="293" spans="1:3" x14ac:dyDescent="0.35">
      <c r="A293" s="3" t="s">
        <v>316</v>
      </c>
      <c r="B293" s="8">
        <v>125</v>
      </c>
      <c r="C293" s="8">
        <v>12333</v>
      </c>
    </row>
    <row r="294" spans="1:3" x14ac:dyDescent="0.35">
      <c r="A294" s="3" t="s">
        <v>317</v>
      </c>
      <c r="B294" s="8">
        <v>170</v>
      </c>
      <c r="C294" s="8">
        <v>5667</v>
      </c>
    </row>
    <row r="295" spans="1:3" x14ac:dyDescent="0.35">
      <c r="A295" s="3" t="s">
        <v>318</v>
      </c>
      <c r="B295" s="8">
        <v>145</v>
      </c>
      <c r="C295" s="8">
        <v>5999</v>
      </c>
    </row>
    <row r="296" spans="1:3" x14ac:dyDescent="0.35">
      <c r="A296" s="3" t="s">
        <v>319</v>
      </c>
      <c r="B296" s="8">
        <v>90</v>
      </c>
      <c r="C296" s="8">
        <v>3271</v>
      </c>
    </row>
    <row r="297" spans="1:3" x14ac:dyDescent="0.35">
      <c r="A297" s="3" t="s">
        <v>320</v>
      </c>
      <c r="B297" s="8">
        <v>88</v>
      </c>
      <c r="C297" s="8">
        <v>4241</v>
      </c>
    </row>
    <row r="298" spans="1:3" x14ac:dyDescent="0.35">
      <c r="A298" s="3" t="s">
        <v>321</v>
      </c>
      <c r="B298" s="8">
        <v>128</v>
      </c>
      <c r="C298" s="8">
        <v>4357</v>
      </c>
    </row>
    <row r="299" spans="1:3" x14ac:dyDescent="0.35">
      <c r="A299" s="3" t="s">
        <v>322</v>
      </c>
      <c r="B299" s="8">
        <v>84</v>
      </c>
      <c r="C299" s="8">
        <v>2666</v>
      </c>
    </row>
    <row r="300" spans="1:3" x14ac:dyDescent="0.35">
      <c r="A300" s="3" t="s">
        <v>323</v>
      </c>
      <c r="B300" s="8">
        <v>108</v>
      </c>
      <c r="C300" s="8">
        <v>6478</v>
      </c>
    </row>
    <row r="301" spans="1:3" x14ac:dyDescent="0.35">
      <c r="A301" s="3" t="s">
        <v>324</v>
      </c>
      <c r="B301" s="8">
        <v>83</v>
      </c>
      <c r="C301" s="8">
        <v>3808</v>
      </c>
    </row>
    <row r="302" spans="1:3" x14ac:dyDescent="0.35">
      <c r="A302" s="3" t="s">
        <v>325</v>
      </c>
      <c r="B302" s="8">
        <v>117</v>
      </c>
      <c r="C302" s="8">
        <v>3729</v>
      </c>
    </row>
    <row r="303" spans="1:3" x14ac:dyDescent="0.35">
      <c r="A303" s="3" t="s">
        <v>326</v>
      </c>
      <c r="B303" s="8">
        <v>128</v>
      </c>
      <c r="C303" s="8">
        <v>4120</v>
      </c>
    </row>
    <row r="304" spans="1:3" x14ac:dyDescent="0.35">
      <c r="A304" s="3" t="s">
        <v>327</v>
      </c>
      <c r="B304" s="8">
        <v>75</v>
      </c>
      <c r="C304" s="8">
        <v>7500</v>
      </c>
    </row>
    <row r="305" spans="1:3" x14ac:dyDescent="0.35">
      <c r="A305" s="3" t="s">
        <v>328</v>
      </c>
      <c r="B305" s="8">
        <v>125</v>
      </c>
      <c r="C305" s="8">
        <v>6300</v>
      </c>
    </row>
    <row r="306" spans="1:3" x14ac:dyDescent="0.35">
      <c r="A306" s="3" t="s">
        <v>329</v>
      </c>
      <c r="B306" s="8">
        <v>177</v>
      </c>
      <c r="C306" s="8">
        <v>14987</v>
      </c>
    </row>
    <row r="307" spans="1:3" x14ac:dyDescent="0.35">
      <c r="A307" s="3" t="s">
        <v>330</v>
      </c>
      <c r="B307" s="8">
        <v>68</v>
      </c>
      <c r="C307" s="8">
        <v>2695</v>
      </c>
    </row>
    <row r="308" spans="1:3" x14ac:dyDescent="0.35">
      <c r="A308" s="3" t="s">
        <v>331</v>
      </c>
      <c r="B308" s="8">
        <v>96</v>
      </c>
      <c r="C308" s="8">
        <v>3300</v>
      </c>
    </row>
    <row r="309" spans="1:3" x14ac:dyDescent="0.35">
      <c r="A309" s="3" t="s">
        <v>332</v>
      </c>
      <c r="B309" s="8">
        <v>180</v>
      </c>
      <c r="C309" s="8">
        <v>3816</v>
      </c>
    </row>
    <row r="310" spans="1:3" x14ac:dyDescent="0.35">
      <c r="A310" s="3" t="s">
        <v>333</v>
      </c>
      <c r="B310" s="8">
        <v>183</v>
      </c>
      <c r="C310" s="8">
        <v>7500</v>
      </c>
    </row>
    <row r="311" spans="1:3" x14ac:dyDescent="0.35">
      <c r="A311" s="3" t="s">
        <v>334</v>
      </c>
      <c r="B311" s="8">
        <v>121</v>
      </c>
      <c r="C311" s="8">
        <v>3859</v>
      </c>
    </row>
    <row r="312" spans="1:3" x14ac:dyDescent="0.35">
      <c r="A312" s="3" t="s">
        <v>335</v>
      </c>
      <c r="B312" s="8">
        <v>162</v>
      </c>
      <c r="C312" s="8">
        <v>6825</v>
      </c>
    </row>
    <row r="313" spans="1:3" x14ac:dyDescent="0.35">
      <c r="A313" s="3" t="s">
        <v>336</v>
      </c>
      <c r="B313" s="8">
        <v>132</v>
      </c>
      <c r="C313" s="8">
        <v>8408</v>
      </c>
    </row>
    <row r="314" spans="1:3" x14ac:dyDescent="0.35">
      <c r="A314" s="3" t="s">
        <v>337</v>
      </c>
      <c r="B314" s="8">
        <v>147</v>
      </c>
      <c r="C314" s="8">
        <v>5314</v>
      </c>
    </row>
    <row r="315" spans="1:3" x14ac:dyDescent="0.35">
      <c r="A315" s="3" t="s">
        <v>338</v>
      </c>
      <c r="B315" s="8">
        <v>153</v>
      </c>
      <c r="C315" s="8">
        <v>7638</v>
      </c>
    </row>
    <row r="316" spans="1:3" x14ac:dyDescent="0.35">
      <c r="A316" s="3" t="s">
        <v>339</v>
      </c>
      <c r="B316" s="8">
        <v>104</v>
      </c>
      <c r="C316" s="8">
        <v>4174</v>
      </c>
    </row>
    <row r="317" spans="1:3" x14ac:dyDescent="0.35">
      <c r="A317" s="3" t="s">
        <v>340</v>
      </c>
      <c r="B317" s="8">
        <v>149</v>
      </c>
      <c r="C317" s="8">
        <v>5000</v>
      </c>
    </row>
    <row r="318" spans="1:3" x14ac:dyDescent="0.35">
      <c r="A318" s="3" t="s">
        <v>341</v>
      </c>
      <c r="B318" s="8">
        <v>134</v>
      </c>
      <c r="C318" s="8">
        <v>3767</v>
      </c>
    </row>
    <row r="319" spans="1:3" x14ac:dyDescent="0.35">
      <c r="A319" s="3" t="s">
        <v>342</v>
      </c>
      <c r="B319" s="8">
        <v>165</v>
      </c>
      <c r="C319" s="8">
        <v>8738</v>
      </c>
    </row>
    <row r="320" spans="1:3" x14ac:dyDescent="0.35">
      <c r="A320" s="3" t="s">
        <v>343</v>
      </c>
      <c r="B320" s="8">
        <v>120</v>
      </c>
      <c r="C320" s="8">
        <v>4283</v>
      </c>
    </row>
    <row r="321" spans="1:3" x14ac:dyDescent="0.35">
      <c r="A321" s="3" t="s">
        <v>344</v>
      </c>
      <c r="B321" s="8">
        <v>67</v>
      </c>
      <c r="C321" s="8">
        <v>4600</v>
      </c>
    </row>
    <row r="322" spans="1:3" x14ac:dyDescent="0.35">
      <c r="A322" s="3" t="s">
        <v>345</v>
      </c>
      <c r="B322" s="8">
        <v>125</v>
      </c>
      <c r="C322" s="8">
        <v>4768</v>
      </c>
    </row>
    <row r="323" spans="1:3" x14ac:dyDescent="0.35">
      <c r="A323" s="3" t="s">
        <v>346</v>
      </c>
      <c r="B323" s="8">
        <v>120</v>
      </c>
      <c r="C323" s="8">
        <v>5821</v>
      </c>
    </row>
    <row r="324" spans="1:3" x14ac:dyDescent="0.35">
      <c r="A324" s="3" t="s">
        <v>347</v>
      </c>
      <c r="B324" s="8">
        <v>148</v>
      </c>
      <c r="C324" s="8">
        <v>4209</v>
      </c>
    </row>
    <row r="325" spans="1:3" x14ac:dyDescent="0.35">
      <c r="A325" s="3" t="s">
        <v>348</v>
      </c>
      <c r="B325" s="8">
        <v>181</v>
      </c>
      <c r="C325" s="8">
        <v>3409</v>
      </c>
    </row>
    <row r="326" spans="1:3" x14ac:dyDescent="0.35">
      <c r="A326" s="3" t="s">
        <v>349</v>
      </c>
      <c r="B326" s="8">
        <v>80</v>
      </c>
      <c r="C326" s="8">
        <v>3400</v>
      </c>
    </row>
    <row r="327" spans="1:3" x14ac:dyDescent="0.35">
      <c r="A327" s="3" t="s">
        <v>350</v>
      </c>
      <c r="B327" s="8">
        <v>40</v>
      </c>
      <c r="C327" s="8">
        <v>21000</v>
      </c>
    </row>
    <row r="328" spans="1:3" x14ac:dyDescent="0.35">
      <c r="A328" s="3" t="s">
        <v>351</v>
      </c>
      <c r="B328" s="8">
        <v>90</v>
      </c>
      <c r="C328" s="8">
        <v>5333</v>
      </c>
    </row>
    <row r="329" spans="1:3" x14ac:dyDescent="0.35">
      <c r="A329" s="3" t="s">
        <v>352</v>
      </c>
      <c r="B329" s="8">
        <v>95</v>
      </c>
      <c r="C329" s="8">
        <v>5291</v>
      </c>
    </row>
    <row r="330" spans="1:3" x14ac:dyDescent="0.35">
      <c r="A330" s="3" t="s">
        <v>353</v>
      </c>
      <c r="B330" s="8">
        <v>122</v>
      </c>
      <c r="C330" s="8">
        <v>3218</v>
      </c>
    </row>
    <row r="331" spans="1:3" x14ac:dyDescent="0.35">
      <c r="A331" s="3" t="s">
        <v>354</v>
      </c>
      <c r="B331" s="8">
        <v>150</v>
      </c>
      <c r="C331" s="8">
        <v>5741</v>
      </c>
    </row>
    <row r="332" spans="1:3" x14ac:dyDescent="0.35">
      <c r="A332" s="3" t="s">
        <v>355</v>
      </c>
      <c r="B332" s="8">
        <v>150</v>
      </c>
      <c r="C332" s="8">
        <v>8369</v>
      </c>
    </row>
    <row r="333" spans="1:3" x14ac:dyDescent="0.35">
      <c r="A333" s="3" t="s">
        <v>356</v>
      </c>
      <c r="B333" s="8">
        <v>104</v>
      </c>
      <c r="C333" s="8">
        <v>5158</v>
      </c>
    </row>
    <row r="334" spans="1:3" x14ac:dyDescent="0.35">
      <c r="A334" s="3" t="s">
        <v>357</v>
      </c>
      <c r="B334" s="8">
        <v>143</v>
      </c>
      <c r="C334" s="8">
        <v>5509</v>
      </c>
    </row>
    <row r="335" spans="1:3" x14ac:dyDescent="0.35">
      <c r="A335" s="3" t="s">
        <v>358</v>
      </c>
      <c r="B335" s="8">
        <v>300</v>
      </c>
      <c r="C335" s="8">
        <v>9699</v>
      </c>
    </row>
    <row r="336" spans="1:3" x14ac:dyDescent="0.35">
      <c r="A336" s="3" t="s">
        <v>359</v>
      </c>
      <c r="B336" s="8">
        <v>171</v>
      </c>
      <c r="C336" s="8">
        <v>6338</v>
      </c>
    </row>
    <row r="337" spans="1:3" x14ac:dyDescent="0.35">
      <c r="A337" s="3" t="s">
        <v>360</v>
      </c>
      <c r="B337" s="8">
        <v>113</v>
      </c>
      <c r="C337" s="8">
        <v>4709</v>
      </c>
    </row>
    <row r="338" spans="1:3" x14ac:dyDescent="0.35">
      <c r="A338" s="3" t="s">
        <v>361</v>
      </c>
      <c r="B338" s="8">
        <v>35</v>
      </c>
      <c r="C338" s="8">
        <v>3467</v>
      </c>
    </row>
    <row r="339" spans="1:3" x14ac:dyDescent="0.35">
      <c r="A339" s="3" t="s">
        <v>362</v>
      </c>
      <c r="B339" s="8">
        <v>46</v>
      </c>
      <c r="C339" s="8">
        <v>2400</v>
      </c>
    </row>
    <row r="340" spans="1:3" x14ac:dyDescent="0.35">
      <c r="A340" s="3" t="s">
        <v>363</v>
      </c>
      <c r="B340" s="8">
        <v>145</v>
      </c>
      <c r="C340" s="8">
        <v>5015</v>
      </c>
    </row>
    <row r="341" spans="1:3" x14ac:dyDescent="0.35">
      <c r="A341" s="3" t="s">
        <v>364</v>
      </c>
      <c r="B341" s="8">
        <v>119</v>
      </c>
      <c r="C341" s="8">
        <v>3850</v>
      </c>
    </row>
    <row r="342" spans="1:3" x14ac:dyDescent="0.35">
      <c r="A342" s="3" t="s">
        <v>365</v>
      </c>
      <c r="B342" s="8">
        <v>87</v>
      </c>
      <c r="C342" s="8">
        <v>5715</v>
      </c>
    </row>
    <row r="343" spans="1:3" x14ac:dyDescent="0.35">
      <c r="A343" s="3" t="s">
        <v>366</v>
      </c>
      <c r="B343" s="8">
        <v>162</v>
      </c>
      <c r="C343" s="8">
        <v>6666</v>
      </c>
    </row>
    <row r="344" spans="1:3" x14ac:dyDescent="0.35">
      <c r="A344" s="3" t="s">
        <v>367</v>
      </c>
      <c r="B344" s="8">
        <v>122</v>
      </c>
      <c r="C344" s="8">
        <v>7454</v>
      </c>
    </row>
    <row r="345" spans="1:3" x14ac:dyDescent="0.35">
      <c r="A345" s="3" t="s">
        <v>368</v>
      </c>
      <c r="B345" s="8">
        <v>187</v>
      </c>
      <c r="C345" s="8">
        <v>8247</v>
      </c>
    </row>
    <row r="346" spans="1:3" x14ac:dyDescent="0.35">
      <c r="A346" s="3" t="s">
        <v>369</v>
      </c>
      <c r="B346" s="8">
        <v>81</v>
      </c>
      <c r="C346" s="8">
        <v>3522</v>
      </c>
    </row>
    <row r="347" spans="1:3" x14ac:dyDescent="0.35">
      <c r="A347" s="3" t="s">
        <v>370</v>
      </c>
      <c r="B347" s="8">
        <v>80</v>
      </c>
      <c r="C347" s="8">
        <v>4700</v>
      </c>
    </row>
    <row r="348" spans="1:3" x14ac:dyDescent="0.35">
      <c r="A348" s="3" t="s">
        <v>371</v>
      </c>
      <c r="B348" s="8">
        <v>176</v>
      </c>
      <c r="C348" s="8">
        <v>6858</v>
      </c>
    </row>
    <row r="349" spans="1:3" x14ac:dyDescent="0.35">
      <c r="A349" s="3" t="s">
        <v>372</v>
      </c>
      <c r="B349" s="8">
        <v>260</v>
      </c>
      <c r="C349" s="8">
        <v>8334</v>
      </c>
    </row>
    <row r="350" spans="1:3" x14ac:dyDescent="0.35">
      <c r="A350" s="3" t="s">
        <v>373</v>
      </c>
      <c r="B350" s="8">
        <v>133</v>
      </c>
      <c r="C350" s="8">
        <v>5357</v>
      </c>
    </row>
    <row r="351" spans="1:3" x14ac:dyDescent="0.35">
      <c r="A351" s="3" t="s">
        <v>374</v>
      </c>
      <c r="B351" s="8">
        <v>70</v>
      </c>
      <c r="C351" s="8">
        <v>2868</v>
      </c>
    </row>
    <row r="352" spans="1:3" x14ac:dyDescent="0.35">
      <c r="A352" s="3" t="s">
        <v>375</v>
      </c>
      <c r="B352" s="8">
        <v>135</v>
      </c>
      <c r="C352" s="8">
        <v>4798</v>
      </c>
    </row>
    <row r="353" spans="1:3" x14ac:dyDescent="0.35">
      <c r="A353" s="3" t="s">
        <v>376</v>
      </c>
      <c r="B353" s="8">
        <v>137</v>
      </c>
      <c r="C353" s="8">
        <v>2796</v>
      </c>
    </row>
    <row r="354" spans="1:3" x14ac:dyDescent="0.35">
      <c r="A354" s="3" t="s">
        <v>377</v>
      </c>
      <c r="B354" s="8">
        <v>254</v>
      </c>
      <c r="C354" s="8">
        <v>8667</v>
      </c>
    </row>
    <row r="355" spans="1:3" x14ac:dyDescent="0.35">
      <c r="A355" s="3" t="s">
        <v>378</v>
      </c>
      <c r="B355" s="8">
        <v>106</v>
      </c>
      <c r="C355" s="8">
        <v>17283</v>
      </c>
    </row>
    <row r="356" spans="1:3" x14ac:dyDescent="0.35">
      <c r="A356" s="3" t="s">
        <v>379</v>
      </c>
      <c r="B356" s="8">
        <v>109</v>
      </c>
      <c r="C356" s="8">
        <v>6727</v>
      </c>
    </row>
    <row r="357" spans="1:3" x14ac:dyDescent="0.35">
      <c r="A357" s="3" t="s">
        <v>380</v>
      </c>
      <c r="B357" s="8">
        <v>120</v>
      </c>
      <c r="C357" s="8">
        <v>8888</v>
      </c>
    </row>
    <row r="358" spans="1:3" x14ac:dyDescent="0.35">
      <c r="A358" s="3" t="s">
        <v>381</v>
      </c>
      <c r="B358" s="8">
        <v>158</v>
      </c>
      <c r="C358" s="8">
        <v>5503</v>
      </c>
    </row>
    <row r="359" spans="1:3" x14ac:dyDescent="0.35">
      <c r="A359" s="3" t="s">
        <v>382</v>
      </c>
      <c r="B359" s="8">
        <v>197</v>
      </c>
      <c r="C359" s="8">
        <v>8816</v>
      </c>
    </row>
    <row r="360" spans="1:3" x14ac:dyDescent="0.35">
      <c r="A360" s="3" t="s">
        <v>383</v>
      </c>
      <c r="B360" s="8">
        <v>85</v>
      </c>
      <c r="C360" s="8">
        <v>5727</v>
      </c>
    </row>
    <row r="361" spans="1:3" x14ac:dyDescent="0.35">
      <c r="A361" s="3" t="s">
        <v>384</v>
      </c>
      <c r="B361" s="8">
        <v>60</v>
      </c>
      <c r="C361" s="8">
        <v>2500</v>
      </c>
    </row>
    <row r="362" spans="1:3" x14ac:dyDescent="0.35">
      <c r="A362" s="3" t="s">
        <v>385</v>
      </c>
      <c r="B362" s="8">
        <v>76</v>
      </c>
      <c r="C362" s="8">
        <v>3132</v>
      </c>
    </row>
    <row r="363" spans="1:3" x14ac:dyDescent="0.35">
      <c r="A363" s="3" t="s">
        <v>386</v>
      </c>
      <c r="B363" s="8">
        <v>152</v>
      </c>
      <c r="C363" s="8">
        <v>6667</v>
      </c>
    </row>
    <row r="364" spans="1:3" x14ac:dyDescent="0.35">
      <c r="A364" s="3" t="s">
        <v>387</v>
      </c>
      <c r="B364" s="8">
        <v>96</v>
      </c>
      <c r="C364" s="8">
        <v>12805</v>
      </c>
    </row>
    <row r="365" spans="1:3" x14ac:dyDescent="0.35">
      <c r="A365" s="3" t="s">
        <v>388</v>
      </c>
      <c r="B365" s="8">
        <v>99</v>
      </c>
      <c r="C365" s="8">
        <v>4436</v>
      </c>
    </row>
    <row r="366" spans="1:3" x14ac:dyDescent="0.35">
      <c r="A366" s="3" t="s">
        <v>389</v>
      </c>
      <c r="B366" s="8">
        <v>113</v>
      </c>
      <c r="C366" s="8">
        <v>5786</v>
      </c>
    </row>
    <row r="367" spans="1:3" x14ac:dyDescent="0.35">
      <c r="A367" s="3" t="s">
        <v>390</v>
      </c>
      <c r="B367" s="8">
        <v>115</v>
      </c>
      <c r="C367" s="8">
        <v>4867</v>
      </c>
    </row>
    <row r="368" spans="1:3" x14ac:dyDescent="0.35">
      <c r="A368" s="3" t="s">
        <v>391</v>
      </c>
      <c r="B368" s="8">
        <v>126</v>
      </c>
      <c r="C368" s="8">
        <v>5243</v>
      </c>
    </row>
    <row r="369" spans="1:3" x14ac:dyDescent="0.35">
      <c r="A369" s="3" t="s">
        <v>392</v>
      </c>
      <c r="B369" s="8">
        <v>158</v>
      </c>
      <c r="C369" s="8">
        <v>7393</v>
      </c>
    </row>
    <row r="370" spans="1:3" x14ac:dyDescent="0.35">
      <c r="A370" s="3" t="s">
        <v>393</v>
      </c>
      <c r="B370" s="8">
        <v>98</v>
      </c>
      <c r="C370" s="8">
        <v>9200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8"/>
  <sheetViews>
    <sheetView workbookViewId="0">
      <selection activeCell="J5" sqref="J5"/>
    </sheetView>
  </sheetViews>
  <sheetFormatPr defaultRowHeight="14.5" x14ac:dyDescent="0.35"/>
  <cols>
    <col min="1" max="1" width="8.6328125" bestFit="1" customWidth="1"/>
    <col min="2" max="2" width="7" bestFit="1" customWidth="1"/>
    <col min="3" max="3" width="7.54296875" bestFit="1" customWidth="1"/>
    <col min="4" max="4" width="11" bestFit="1" customWidth="1"/>
    <col min="5" max="5" width="12.08984375" bestFit="1" customWidth="1"/>
    <col min="6" max="6" width="13.1796875" bestFit="1" customWidth="1"/>
    <col min="7" max="7" width="15" bestFit="1" customWidth="1"/>
    <col min="8" max="8" width="17.08984375" bestFit="1" customWidth="1"/>
    <col min="9" max="9" width="11.6328125" bestFit="1" customWidth="1"/>
    <col min="10" max="10" width="18.1796875" bestFit="1" customWidth="1"/>
    <col min="11" max="11" width="13" bestFit="1" customWidth="1"/>
    <col min="12" max="12" width="13.1796875" bestFit="1" customWidth="1"/>
    <col min="13" max="13" width="12.26953125" bestFit="1" customWidth="1"/>
    <col min="14" max="14" width="17.54296875" bestFit="1" customWidth="1"/>
    <col min="15" max="15" width="20.26953125" bestFit="1"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7" x14ac:dyDescent="0.35">
      <c r="A2" t="s">
        <v>15</v>
      </c>
      <c r="B2" t="s">
        <v>16</v>
      </c>
      <c r="C2" t="s">
        <v>17</v>
      </c>
      <c r="D2">
        <v>0</v>
      </c>
      <c r="E2" t="s">
        <v>18</v>
      </c>
      <c r="F2" t="s">
        <v>19</v>
      </c>
      <c r="G2">
        <v>5720</v>
      </c>
      <c r="H2">
        <v>0</v>
      </c>
      <c r="I2">
        <v>110</v>
      </c>
      <c r="J2">
        <v>360</v>
      </c>
      <c r="K2">
        <v>1</v>
      </c>
      <c r="L2" t="s">
        <v>20</v>
      </c>
      <c r="M2">
        <v>5720</v>
      </c>
      <c r="N2">
        <v>1.9230769230769228E-2</v>
      </c>
      <c r="O2" t="s">
        <v>21</v>
      </c>
    </row>
    <row r="3" spans="1:17" x14ac:dyDescent="0.35">
      <c r="A3" t="s">
        <v>22</v>
      </c>
      <c r="B3" t="s">
        <v>16</v>
      </c>
      <c r="C3" t="s">
        <v>17</v>
      </c>
      <c r="D3">
        <v>1</v>
      </c>
      <c r="E3" t="s">
        <v>18</v>
      </c>
      <c r="F3" t="s">
        <v>19</v>
      </c>
      <c r="G3">
        <v>3076</v>
      </c>
      <c r="H3">
        <v>1500</v>
      </c>
      <c r="I3">
        <v>126</v>
      </c>
      <c r="J3">
        <v>360</v>
      </c>
      <c r="K3">
        <v>1</v>
      </c>
      <c r="L3" t="s">
        <v>20</v>
      </c>
      <c r="M3">
        <v>4576</v>
      </c>
      <c r="N3">
        <v>2.7534965034965039E-2</v>
      </c>
      <c r="O3" t="s">
        <v>21</v>
      </c>
    </row>
    <row r="4" spans="1:17" x14ac:dyDescent="0.35">
      <c r="A4" t="s">
        <v>23</v>
      </c>
      <c r="B4" t="s">
        <v>16</v>
      </c>
      <c r="C4" t="s">
        <v>17</v>
      </c>
      <c r="D4">
        <v>2</v>
      </c>
      <c r="E4" t="s">
        <v>18</v>
      </c>
      <c r="F4" t="s">
        <v>19</v>
      </c>
      <c r="G4">
        <v>5000</v>
      </c>
      <c r="H4">
        <v>1800</v>
      </c>
      <c r="I4">
        <v>208</v>
      </c>
      <c r="J4">
        <v>360</v>
      </c>
      <c r="K4">
        <v>1</v>
      </c>
      <c r="L4" t="s">
        <v>20</v>
      </c>
      <c r="M4">
        <v>6800</v>
      </c>
      <c r="N4">
        <v>3.0588235294117649E-2</v>
      </c>
      <c r="O4" t="s">
        <v>21</v>
      </c>
      <c r="Q4">
        <f>AVERAGE(I2:I368)</f>
        <v>135.98092643051771</v>
      </c>
    </row>
    <row r="5" spans="1:17" x14ac:dyDescent="0.35">
      <c r="A5" t="s">
        <v>24</v>
      </c>
      <c r="B5" t="s">
        <v>16</v>
      </c>
      <c r="C5" t="s">
        <v>17</v>
      </c>
      <c r="D5">
        <v>2</v>
      </c>
      <c r="E5" t="s">
        <v>18</v>
      </c>
      <c r="F5" t="s">
        <v>19</v>
      </c>
      <c r="G5">
        <v>2340</v>
      </c>
      <c r="H5">
        <v>2546</v>
      </c>
      <c r="I5">
        <v>100</v>
      </c>
      <c r="J5">
        <v>360</v>
      </c>
      <c r="K5">
        <v>1</v>
      </c>
      <c r="L5" t="s">
        <v>20</v>
      </c>
      <c r="M5">
        <v>4886</v>
      </c>
      <c r="N5">
        <v>2.046663937781416E-2</v>
      </c>
      <c r="O5" t="s">
        <v>21</v>
      </c>
    </row>
    <row r="6" spans="1:17" x14ac:dyDescent="0.35">
      <c r="A6" t="s">
        <v>25</v>
      </c>
      <c r="B6" t="s">
        <v>16</v>
      </c>
      <c r="C6" t="s">
        <v>19</v>
      </c>
      <c r="D6">
        <v>0</v>
      </c>
      <c r="E6" t="s">
        <v>26</v>
      </c>
      <c r="F6" t="s">
        <v>19</v>
      </c>
      <c r="G6">
        <v>3276</v>
      </c>
      <c r="H6">
        <v>0</v>
      </c>
      <c r="I6">
        <v>78</v>
      </c>
      <c r="J6">
        <v>360</v>
      </c>
      <c r="K6">
        <v>1</v>
      </c>
      <c r="L6" t="s">
        <v>20</v>
      </c>
      <c r="M6">
        <v>3276</v>
      </c>
      <c r="N6">
        <v>2.3809523809523812E-2</v>
      </c>
      <c r="O6" t="s">
        <v>21</v>
      </c>
    </row>
    <row r="7" spans="1:17" x14ac:dyDescent="0.35">
      <c r="A7" t="s">
        <v>27</v>
      </c>
      <c r="B7" t="s">
        <v>16</v>
      </c>
      <c r="C7" t="s">
        <v>17</v>
      </c>
      <c r="D7">
        <v>0</v>
      </c>
      <c r="E7" t="s">
        <v>26</v>
      </c>
      <c r="F7" t="s">
        <v>17</v>
      </c>
      <c r="G7">
        <v>2165</v>
      </c>
      <c r="H7">
        <v>3422</v>
      </c>
      <c r="I7">
        <v>152</v>
      </c>
      <c r="J7">
        <v>360</v>
      </c>
      <c r="K7">
        <v>1</v>
      </c>
      <c r="L7" t="s">
        <v>20</v>
      </c>
      <c r="M7">
        <v>5587</v>
      </c>
      <c r="N7">
        <v>2.7206013960980852E-2</v>
      </c>
      <c r="O7" t="s">
        <v>21</v>
      </c>
    </row>
    <row r="8" spans="1:17" x14ac:dyDescent="0.35">
      <c r="A8" t="s">
        <v>28</v>
      </c>
      <c r="B8" t="s">
        <v>29</v>
      </c>
      <c r="C8" t="s">
        <v>19</v>
      </c>
      <c r="D8">
        <v>1</v>
      </c>
      <c r="E8" t="s">
        <v>26</v>
      </c>
      <c r="F8" t="s">
        <v>19</v>
      </c>
      <c r="G8">
        <v>2226</v>
      </c>
      <c r="H8">
        <v>0</v>
      </c>
      <c r="I8">
        <v>59</v>
      </c>
      <c r="J8">
        <v>360</v>
      </c>
      <c r="K8">
        <v>1</v>
      </c>
      <c r="L8" t="s">
        <v>30</v>
      </c>
      <c r="M8">
        <v>2226</v>
      </c>
      <c r="N8">
        <v>2.6504941599281219E-2</v>
      </c>
      <c r="O8" t="s">
        <v>21</v>
      </c>
    </row>
    <row r="9" spans="1:17" x14ac:dyDescent="0.35">
      <c r="A9" t="s">
        <v>31</v>
      </c>
      <c r="B9" t="s">
        <v>16</v>
      </c>
      <c r="C9" t="s">
        <v>17</v>
      </c>
      <c r="D9">
        <v>2</v>
      </c>
      <c r="E9" t="s">
        <v>26</v>
      </c>
      <c r="F9" t="s">
        <v>19</v>
      </c>
      <c r="G9">
        <v>3881</v>
      </c>
      <c r="H9">
        <v>0</v>
      </c>
      <c r="I9">
        <v>147</v>
      </c>
      <c r="J9">
        <v>360</v>
      </c>
      <c r="K9">
        <v>0</v>
      </c>
      <c r="L9" t="s">
        <v>32</v>
      </c>
      <c r="M9">
        <v>3881</v>
      </c>
      <c r="N9">
        <v>3.787683586704458E-2</v>
      </c>
      <c r="O9" t="s">
        <v>33</v>
      </c>
    </row>
    <row r="10" spans="1:17" x14ac:dyDescent="0.35">
      <c r="A10" t="s">
        <v>34</v>
      </c>
      <c r="B10" t="s">
        <v>16</v>
      </c>
      <c r="C10" t="s">
        <v>17</v>
      </c>
      <c r="D10">
        <v>2</v>
      </c>
      <c r="E10" t="s">
        <v>18</v>
      </c>
      <c r="F10" t="s">
        <v>19</v>
      </c>
      <c r="G10">
        <v>13633</v>
      </c>
      <c r="H10">
        <v>0</v>
      </c>
      <c r="I10">
        <v>280</v>
      </c>
      <c r="J10">
        <v>240</v>
      </c>
      <c r="K10">
        <v>1</v>
      </c>
      <c r="L10" t="s">
        <v>20</v>
      </c>
      <c r="M10">
        <v>13633</v>
      </c>
      <c r="N10">
        <v>2.053839947186973E-2</v>
      </c>
      <c r="O10" t="s">
        <v>21</v>
      </c>
    </row>
    <row r="11" spans="1:17" x14ac:dyDescent="0.35">
      <c r="A11" t="s">
        <v>35</v>
      </c>
      <c r="B11" t="s">
        <v>16</v>
      </c>
      <c r="C11" t="s">
        <v>19</v>
      </c>
      <c r="D11">
        <v>0</v>
      </c>
      <c r="E11" t="s">
        <v>26</v>
      </c>
      <c r="F11" t="s">
        <v>19</v>
      </c>
      <c r="G11">
        <v>2400</v>
      </c>
      <c r="H11">
        <v>2400</v>
      </c>
      <c r="I11">
        <v>123</v>
      </c>
      <c r="J11">
        <v>360</v>
      </c>
      <c r="K11">
        <v>1</v>
      </c>
      <c r="L11" t="s">
        <v>30</v>
      </c>
      <c r="M11">
        <v>4800</v>
      </c>
      <c r="N11">
        <v>2.5624999999999998E-2</v>
      </c>
      <c r="O11" t="s">
        <v>21</v>
      </c>
    </row>
    <row r="12" spans="1:17" x14ac:dyDescent="0.35">
      <c r="A12" t="s">
        <v>36</v>
      </c>
      <c r="B12" t="s">
        <v>16</v>
      </c>
      <c r="C12" t="s">
        <v>19</v>
      </c>
      <c r="D12">
        <v>0</v>
      </c>
      <c r="E12" t="s">
        <v>26</v>
      </c>
      <c r="F12" t="s">
        <v>19</v>
      </c>
      <c r="G12">
        <v>3091</v>
      </c>
      <c r="H12">
        <v>0</v>
      </c>
      <c r="I12">
        <v>90</v>
      </c>
      <c r="J12">
        <v>360</v>
      </c>
      <c r="K12">
        <v>1</v>
      </c>
      <c r="L12" t="s">
        <v>20</v>
      </c>
      <c r="M12">
        <v>3091</v>
      </c>
      <c r="N12">
        <v>2.9116790682626979E-2</v>
      </c>
      <c r="O12" t="s">
        <v>21</v>
      </c>
    </row>
    <row r="13" spans="1:17" x14ac:dyDescent="0.35">
      <c r="A13" t="s">
        <v>37</v>
      </c>
      <c r="B13" t="s">
        <v>16</v>
      </c>
      <c r="C13" t="s">
        <v>17</v>
      </c>
      <c r="D13">
        <v>1</v>
      </c>
      <c r="E13" t="s">
        <v>18</v>
      </c>
      <c r="F13" t="s">
        <v>19</v>
      </c>
      <c r="G13">
        <v>2185</v>
      </c>
      <c r="H13">
        <v>1516</v>
      </c>
      <c r="I13">
        <v>162</v>
      </c>
      <c r="J13">
        <v>360</v>
      </c>
      <c r="K13">
        <v>1</v>
      </c>
      <c r="L13" t="s">
        <v>30</v>
      </c>
      <c r="M13">
        <v>3701</v>
      </c>
      <c r="N13">
        <v>4.3771953526074027E-2</v>
      </c>
      <c r="O13" t="s">
        <v>21</v>
      </c>
    </row>
    <row r="14" spans="1:17" x14ac:dyDescent="0.35">
      <c r="A14" t="s">
        <v>38</v>
      </c>
      <c r="B14" t="s">
        <v>16</v>
      </c>
      <c r="C14" t="s">
        <v>19</v>
      </c>
      <c r="D14" t="s">
        <v>39</v>
      </c>
      <c r="E14" t="s">
        <v>18</v>
      </c>
      <c r="F14" t="s">
        <v>19</v>
      </c>
      <c r="G14">
        <v>4166</v>
      </c>
      <c r="H14">
        <v>0</v>
      </c>
      <c r="I14">
        <v>40</v>
      </c>
      <c r="J14">
        <v>180</v>
      </c>
      <c r="K14">
        <v>1</v>
      </c>
      <c r="L14" t="s">
        <v>20</v>
      </c>
      <c r="M14">
        <v>4166</v>
      </c>
      <c r="N14">
        <v>9.6015362457993279E-3</v>
      </c>
      <c r="O14" t="s">
        <v>21</v>
      </c>
    </row>
    <row r="15" spans="1:17" x14ac:dyDescent="0.35">
      <c r="A15" t="s">
        <v>40</v>
      </c>
      <c r="B15" t="s">
        <v>16</v>
      </c>
      <c r="C15" t="s">
        <v>17</v>
      </c>
      <c r="D15">
        <v>2</v>
      </c>
      <c r="E15" t="s">
        <v>18</v>
      </c>
      <c r="F15" t="s">
        <v>19</v>
      </c>
      <c r="G15">
        <v>12173</v>
      </c>
      <c r="H15">
        <v>0</v>
      </c>
      <c r="I15">
        <v>166</v>
      </c>
      <c r="J15">
        <v>360</v>
      </c>
      <c r="K15">
        <v>0</v>
      </c>
      <c r="L15" t="s">
        <v>30</v>
      </c>
      <c r="M15">
        <v>12173</v>
      </c>
      <c r="N15">
        <v>1.363673704099236E-2</v>
      </c>
      <c r="O15" t="s">
        <v>33</v>
      </c>
    </row>
    <row r="16" spans="1:17" x14ac:dyDescent="0.35">
      <c r="A16" t="s">
        <v>41</v>
      </c>
      <c r="B16" t="s">
        <v>29</v>
      </c>
      <c r="C16" t="s">
        <v>19</v>
      </c>
      <c r="D16">
        <v>0</v>
      </c>
      <c r="E16" t="s">
        <v>18</v>
      </c>
      <c r="F16" t="s">
        <v>19</v>
      </c>
      <c r="G16">
        <v>4666</v>
      </c>
      <c r="H16">
        <v>0</v>
      </c>
      <c r="I16">
        <v>124</v>
      </c>
      <c r="J16">
        <v>360</v>
      </c>
      <c r="K16">
        <v>1</v>
      </c>
      <c r="L16" t="s">
        <v>30</v>
      </c>
      <c r="M16">
        <v>4666</v>
      </c>
      <c r="N16">
        <v>2.6575225032147449E-2</v>
      </c>
      <c r="O16" t="s">
        <v>21</v>
      </c>
    </row>
    <row r="17" spans="1:15" x14ac:dyDescent="0.35">
      <c r="A17" t="s">
        <v>42</v>
      </c>
      <c r="B17" t="s">
        <v>16</v>
      </c>
      <c r="C17" t="s">
        <v>19</v>
      </c>
      <c r="D17">
        <v>1</v>
      </c>
      <c r="E17" t="s">
        <v>18</v>
      </c>
      <c r="F17" t="s">
        <v>19</v>
      </c>
      <c r="G17">
        <v>5667</v>
      </c>
      <c r="H17">
        <v>0</v>
      </c>
      <c r="I17">
        <v>131</v>
      </c>
      <c r="J17">
        <v>360</v>
      </c>
      <c r="K17">
        <v>1</v>
      </c>
      <c r="L17" t="s">
        <v>20</v>
      </c>
      <c r="M17">
        <v>5667</v>
      </c>
      <c r="N17">
        <v>2.311628727721899E-2</v>
      </c>
      <c r="O17" t="s">
        <v>21</v>
      </c>
    </row>
    <row r="18" spans="1:15" x14ac:dyDescent="0.35">
      <c r="A18" t="s">
        <v>43</v>
      </c>
      <c r="B18" t="s">
        <v>16</v>
      </c>
      <c r="C18" t="s">
        <v>17</v>
      </c>
      <c r="D18">
        <v>2</v>
      </c>
      <c r="E18" t="s">
        <v>18</v>
      </c>
      <c r="F18" t="s">
        <v>19</v>
      </c>
      <c r="G18">
        <v>4583</v>
      </c>
      <c r="H18">
        <v>2916</v>
      </c>
      <c r="I18">
        <v>200</v>
      </c>
      <c r="J18">
        <v>360</v>
      </c>
      <c r="K18">
        <v>1</v>
      </c>
      <c r="L18" t="s">
        <v>20</v>
      </c>
      <c r="M18">
        <v>7499</v>
      </c>
      <c r="N18">
        <v>2.6670222696359519E-2</v>
      </c>
      <c r="O18" t="s">
        <v>21</v>
      </c>
    </row>
    <row r="19" spans="1:15" x14ac:dyDescent="0.35">
      <c r="A19" t="s">
        <v>44</v>
      </c>
      <c r="B19" t="s">
        <v>16</v>
      </c>
      <c r="C19" t="s">
        <v>17</v>
      </c>
      <c r="D19" t="s">
        <v>39</v>
      </c>
      <c r="E19" t="s">
        <v>18</v>
      </c>
      <c r="F19" t="s">
        <v>19</v>
      </c>
      <c r="G19">
        <v>3786</v>
      </c>
      <c r="H19">
        <v>333</v>
      </c>
      <c r="I19">
        <v>126</v>
      </c>
      <c r="J19">
        <v>360</v>
      </c>
      <c r="K19">
        <v>1</v>
      </c>
      <c r="L19" t="s">
        <v>30</v>
      </c>
      <c r="M19">
        <v>4119</v>
      </c>
      <c r="N19">
        <v>3.058994901675164E-2</v>
      </c>
      <c r="O19" t="s">
        <v>21</v>
      </c>
    </row>
    <row r="20" spans="1:15" x14ac:dyDescent="0.35">
      <c r="A20" t="s">
        <v>45</v>
      </c>
      <c r="B20" t="s">
        <v>16</v>
      </c>
      <c r="C20" t="s">
        <v>17</v>
      </c>
      <c r="D20">
        <v>0</v>
      </c>
      <c r="E20" t="s">
        <v>18</v>
      </c>
      <c r="F20" t="s">
        <v>19</v>
      </c>
      <c r="G20">
        <v>9226</v>
      </c>
      <c r="H20">
        <v>7916</v>
      </c>
      <c r="I20">
        <v>300</v>
      </c>
      <c r="J20">
        <v>360</v>
      </c>
      <c r="K20">
        <v>1</v>
      </c>
      <c r="L20" t="s">
        <v>20</v>
      </c>
      <c r="M20">
        <v>17142</v>
      </c>
      <c r="N20">
        <v>1.7500875043752188E-2</v>
      </c>
      <c r="O20" t="s">
        <v>21</v>
      </c>
    </row>
    <row r="21" spans="1:15" x14ac:dyDescent="0.35">
      <c r="A21" t="s">
        <v>46</v>
      </c>
      <c r="B21" t="s">
        <v>16</v>
      </c>
      <c r="C21" t="s">
        <v>19</v>
      </c>
      <c r="D21">
        <v>0</v>
      </c>
      <c r="E21" t="s">
        <v>18</v>
      </c>
      <c r="F21" t="s">
        <v>19</v>
      </c>
      <c r="G21">
        <v>1300</v>
      </c>
      <c r="H21">
        <v>3470</v>
      </c>
      <c r="I21">
        <v>100</v>
      </c>
      <c r="J21">
        <v>180</v>
      </c>
      <c r="K21">
        <v>1</v>
      </c>
      <c r="L21" t="s">
        <v>30</v>
      </c>
      <c r="M21">
        <v>4770</v>
      </c>
      <c r="N21">
        <v>2.0964360587002101E-2</v>
      </c>
      <c r="O21" t="s">
        <v>21</v>
      </c>
    </row>
    <row r="22" spans="1:15" x14ac:dyDescent="0.35">
      <c r="A22" t="s">
        <v>47</v>
      </c>
      <c r="B22" t="s">
        <v>16</v>
      </c>
      <c r="C22" t="s">
        <v>17</v>
      </c>
      <c r="D22">
        <v>1</v>
      </c>
      <c r="E22" t="s">
        <v>26</v>
      </c>
      <c r="F22" t="s">
        <v>19</v>
      </c>
      <c r="G22">
        <v>1888</v>
      </c>
      <c r="H22">
        <v>1620</v>
      </c>
      <c r="I22">
        <v>48</v>
      </c>
      <c r="J22">
        <v>360</v>
      </c>
      <c r="K22">
        <v>1</v>
      </c>
      <c r="L22" t="s">
        <v>20</v>
      </c>
      <c r="M22">
        <v>3508</v>
      </c>
      <c r="N22">
        <v>1.3683010262257701E-2</v>
      </c>
      <c r="O22" t="s">
        <v>21</v>
      </c>
    </row>
    <row r="23" spans="1:15" x14ac:dyDescent="0.35">
      <c r="A23" t="s">
        <v>48</v>
      </c>
      <c r="B23" t="s">
        <v>29</v>
      </c>
      <c r="C23" t="s">
        <v>19</v>
      </c>
      <c r="D23" t="s">
        <v>39</v>
      </c>
      <c r="E23" t="s">
        <v>26</v>
      </c>
      <c r="F23" t="s">
        <v>19</v>
      </c>
      <c r="G23">
        <v>2083</v>
      </c>
      <c r="H23">
        <v>0</v>
      </c>
      <c r="I23">
        <v>28</v>
      </c>
      <c r="J23">
        <v>180</v>
      </c>
      <c r="K23">
        <v>1</v>
      </c>
      <c r="L23" t="s">
        <v>20</v>
      </c>
      <c r="M23">
        <v>2083</v>
      </c>
      <c r="N23">
        <v>1.344215074411906E-2</v>
      </c>
      <c r="O23" t="s">
        <v>21</v>
      </c>
    </row>
    <row r="24" spans="1:15" x14ac:dyDescent="0.35">
      <c r="A24" t="s">
        <v>49</v>
      </c>
      <c r="B24" t="s">
        <v>16</v>
      </c>
      <c r="C24" t="s">
        <v>19</v>
      </c>
      <c r="D24">
        <v>0</v>
      </c>
      <c r="E24" t="s">
        <v>18</v>
      </c>
      <c r="F24" t="s">
        <v>19</v>
      </c>
      <c r="G24">
        <v>3909</v>
      </c>
      <c r="H24">
        <v>0</v>
      </c>
      <c r="I24">
        <v>101</v>
      </c>
      <c r="J24">
        <v>360</v>
      </c>
      <c r="K24">
        <v>1</v>
      </c>
      <c r="L24" t="s">
        <v>20</v>
      </c>
      <c r="M24">
        <v>3909</v>
      </c>
      <c r="N24">
        <v>2.5837810181632129E-2</v>
      </c>
      <c r="O24" t="s">
        <v>21</v>
      </c>
    </row>
    <row r="25" spans="1:15" x14ac:dyDescent="0.35">
      <c r="A25" t="s">
        <v>50</v>
      </c>
      <c r="B25" t="s">
        <v>29</v>
      </c>
      <c r="C25" t="s">
        <v>19</v>
      </c>
      <c r="D25">
        <v>0</v>
      </c>
      <c r="E25" t="s">
        <v>26</v>
      </c>
      <c r="F25" t="s">
        <v>19</v>
      </c>
      <c r="G25">
        <v>3765</v>
      </c>
      <c r="H25">
        <v>0</v>
      </c>
      <c r="I25">
        <v>125</v>
      </c>
      <c r="J25">
        <v>360</v>
      </c>
      <c r="K25">
        <v>1</v>
      </c>
      <c r="L25" t="s">
        <v>20</v>
      </c>
      <c r="M25">
        <v>3765</v>
      </c>
      <c r="N25">
        <v>3.3200531208499327E-2</v>
      </c>
      <c r="O25" t="s">
        <v>21</v>
      </c>
    </row>
    <row r="26" spans="1:15" x14ac:dyDescent="0.35">
      <c r="A26" t="s">
        <v>51</v>
      </c>
      <c r="B26" t="s">
        <v>16</v>
      </c>
      <c r="C26" t="s">
        <v>17</v>
      </c>
      <c r="D26">
        <v>0</v>
      </c>
      <c r="E26" t="s">
        <v>18</v>
      </c>
      <c r="F26" t="s">
        <v>19</v>
      </c>
      <c r="G26">
        <v>5400</v>
      </c>
      <c r="H26">
        <v>4380</v>
      </c>
      <c r="I26">
        <v>290</v>
      </c>
      <c r="J26">
        <v>360</v>
      </c>
      <c r="K26">
        <v>1</v>
      </c>
      <c r="L26" t="s">
        <v>20</v>
      </c>
      <c r="M26">
        <v>9780</v>
      </c>
      <c r="N26">
        <v>2.9652351738241309E-2</v>
      </c>
      <c r="O26" t="s">
        <v>21</v>
      </c>
    </row>
    <row r="27" spans="1:15" x14ac:dyDescent="0.35">
      <c r="A27" t="s">
        <v>52</v>
      </c>
      <c r="B27" t="s">
        <v>16</v>
      </c>
      <c r="C27" t="s">
        <v>19</v>
      </c>
      <c r="D27">
        <v>0</v>
      </c>
      <c r="E27" t="s">
        <v>18</v>
      </c>
      <c r="F27" t="s">
        <v>19</v>
      </c>
      <c r="G27">
        <v>0</v>
      </c>
      <c r="H27">
        <v>24000</v>
      </c>
      <c r="I27">
        <v>148</v>
      </c>
      <c r="J27">
        <v>360</v>
      </c>
      <c r="K27">
        <v>0</v>
      </c>
      <c r="L27" t="s">
        <v>32</v>
      </c>
      <c r="M27">
        <v>24000</v>
      </c>
      <c r="N27">
        <v>6.1666666666666667E-3</v>
      </c>
      <c r="O27" t="s">
        <v>33</v>
      </c>
    </row>
    <row r="28" spans="1:15" x14ac:dyDescent="0.35">
      <c r="A28" t="s">
        <v>53</v>
      </c>
      <c r="B28" t="s">
        <v>16</v>
      </c>
      <c r="C28" t="s">
        <v>17</v>
      </c>
      <c r="D28">
        <v>2</v>
      </c>
      <c r="E28" t="s">
        <v>18</v>
      </c>
      <c r="F28" t="s">
        <v>19</v>
      </c>
      <c r="G28">
        <v>4363</v>
      </c>
      <c r="H28">
        <v>1250</v>
      </c>
      <c r="I28">
        <v>140</v>
      </c>
      <c r="J28">
        <v>360</v>
      </c>
      <c r="K28">
        <v>1</v>
      </c>
      <c r="L28" t="s">
        <v>20</v>
      </c>
      <c r="M28">
        <v>5613</v>
      </c>
      <c r="N28">
        <v>2.4942098699447711E-2</v>
      </c>
      <c r="O28" t="s">
        <v>21</v>
      </c>
    </row>
    <row r="29" spans="1:15" x14ac:dyDescent="0.35">
      <c r="A29" t="s">
        <v>54</v>
      </c>
      <c r="B29" t="s">
        <v>16</v>
      </c>
      <c r="C29" t="s">
        <v>17</v>
      </c>
      <c r="D29">
        <v>0</v>
      </c>
      <c r="E29" t="s">
        <v>18</v>
      </c>
      <c r="F29" t="s">
        <v>19</v>
      </c>
      <c r="G29">
        <v>7500</v>
      </c>
      <c r="H29">
        <v>3750</v>
      </c>
      <c r="I29">
        <v>275</v>
      </c>
      <c r="J29">
        <v>360</v>
      </c>
      <c r="K29">
        <v>1</v>
      </c>
      <c r="L29" t="s">
        <v>20</v>
      </c>
      <c r="M29">
        <v>11250</v>
      </c>
      <c r="N29">
        <v>2.4444444444444449E-2</v>
      </c>
      <c r="O29" t="s">
        <v>21</v>
      </c>
    </row>
    <row r="30" spans="1:15" x14ac:dyDescent="0.35">
      <c r="A30" t="s">
        <v>55</v>
      </c>
      <c r="B30" t="s">
        <v>16</v>
      </c>
      <c r="C30" t="s">
        <v>17</v>
      </c>
      <c r="D30">
        <v>0</v>
      </c>
      <c r="E30" t="s">
        <v>18</v>
      </c>
      <c r="F30" t="s">
        <v>19</v>
      </c>
      <c r="G30">
        <v>3772</v>
      </c>
      <c r="H30">
        <v>833</v>
      </c>
      <c r="I30">
        <v>57</v>
      </c>
      <c r="J30">
        <v>360</v>
      </c>
      <c r="K30">
        <v>1</v>
      </c>
      <c r="L30" t="s">
        <v>30</v>
      </c>
      <c r="M30">
        <v>4605</v>
      </c>
      <c r="N30">
        <v>1.237785016286645E-2</v>
      </c>
      <c r="O30" t="s">
        <v>21</v>
      </c>
    </row>
    <row r="31" spans="1:15" x14ac:dyDescent="0.35">
      <c r="A31" t="s">
        <v>56</v>
      </c>
      <c r="B31" t="s">
        <v>16</v>
      </c>
      <c r="C31" t="s">
        <v>19</v>
      </c>
      <c r="D31">
        <v>0</v>
      </c>
      <c r="E31" t="s">
        <v>18</v>
      </c>
      <c r="F31" t="s">
        <v>19</v>
      </c>
      <c r="G31">
        <v>2942</v>
      </c>
      <c r="H31">
        <v>2382</v>
      </c>
      <c r="I31">
        <v>125</v>
      </c>
      <c r="J31">
        <v>180</v>
      </c>
      <c r="K31">
        <v>1</v>
      </c>
      <c r="L31" t="s">
        <v>20</v>
      </c>
      <c r="M31">
        <v>5324</v>
      </c>
      <c r="N31">
        <v>2.3478587528174309E-2</v>
      </c>
      <c r="O31" t="s">
        <v>21</v>
      </c>
    </row>
    <row r="32" spans="1:15" x14ac:dyDescent="0.35">
      <c r="A32" t="s">
        <v>57</v>
      </c>
      <c r="B32" t="s">
        <v>29</v>
      </c>
      <c r="C32" t="s">
        <v>19</v>
      </c>
      <c r="D32">
        <v>0</v>
      </c>
      <c r="E32" t="s">
        <v>26</v>
      </c>
      <c r="F32" t="s">
        <v>19</v>
      </c>
      <c r="G32">
        <v>2478</v>
      </c>
      <c r="H32">
        <v>0</v>
      </c>
      <c r="I32">
        <v>75</v>
      </c>
      <c r="J32">
        <v>360</v>
      </c>
      <c r="K32">
        <v>1</v>
      </c>
      <c r="L32" t="s">
        <v>30</v>
      </c>
      <c r="M32">
        <v>2478</v>
      </c>
      <c r="N32">
        <v>3.026634382566586E-2</v>
      </c>
      <c r="O32" t="s">
        <v>21</v>
      </c>
    </row>
    <row r="33" spans="1:15" x14ac:dyDescent="0.35">
      <c r="A33" t="s">
        <v>58</v>
      </c>
      <c r="B33" t="s">
        <v>16</v>
      </c>
      <c r="C33" t="s">
        <v>17</v>
      </c>
      <c r="D33">
        <v>2</v>
      </c>
      <c r="E33" t="s">
        <v>18</v>
      </c>
      <c r="F33" t="s">
        <v>19</v>
      </c>
      <c r="G33">
        <v>6250</v>
      </c>
      <c r="H33">
        <v>820</v>
      </c>
      <c r="I33">
        <v>192</v>
      </c>
      <c r="J33">
        <v>360</v>
      </c>
      <c r="K33">
        <v>1</v>
      </c>
      <c r="L33" t="s">
        <v>20</v>
      </c>
      <c r="M33">
        <v>7070</v>
      </c>
      <c r="N33">
        <v>2.7157001414427159E-2</v>
      </c>
      <c r="O33" t="s">
        <v>21</v>
      </c>
    </row>
    <row r="34" spans="1:15" x14ac:dyDescent="0.35">
      <c r="A34" t="s">
        <v>59</v>
      </c>
      <c r="B34" t="s">
        <v>16</v>
      </c>
      <c r="C34" t="s">
        <v>19</v>
      </c>
      <c r="D34">
        <v>0</v>
      </c>
      <c r="E34" t="s">
        <v>18</v>
      </c>
      <c r="F34" t="s">
        <v>19</v>
      </c>
      <c r="G34">
        <v>3268</v>
      </c>
      <c r="H34">
        <v>1683</v>
      </c>
      <c r="I34">
        <v>152</v>
      </c>
      <c r="J34">
        <v>360</v>
      </c>
      <c r="K34">
        <v>1</v>
      </c>
      <c r="L34" t="s">
        <v>30</v>
      </c>
      <c r="M34">
        <v>4951</v>
      </c>
      <c r="N34">
        <v>3.0700868511411839E-2</v>
      </c>
      <c r="O34" t="s">
        <v>21</v>
      </c>
    </row>
    <row r="35" spans="1:15" x14ac:dyDescent="0.35">
      <c r="A35" t="s">
        <v>60</v>
      </c>
      <c r="B35" t="s">
        <v>16</v>
      </c>
      <c r="C35" t="s">
        <v>17</v>
      </c>
      <c r="D35">
        <v>0</v>
      </c>
      <c r="E35" t="s">
        <v>18</v>
      </c>
      <c r="F35" t="s">
        <v>19</v>
      </c>
      <c r="G35">
        <v>2783</v>
      </c>
      <c r="H35">
        <v>2708</v>
      </c>
      <c r="I35">
        <v>158</v>
      </c>
      <c r="J35">
        <v>360</v>
      </c>
      <c r="K35">
        <v>1</v>
      </c>
      <c r="L35" t="s">
        <v>20</v>
      </c>
      <c r="M35">
        <v>5491</v>
      </c>
      <c r="N35">
        <v>2.8774358040429791E-2</v>
      </c>
      <c r="O35" t="s">
        <v>21</v>
      </c>
    </row>
    <row r="36" spans="1:15" x14ac:dyDescent="0.35">
      <c r="A36" t="s">
        <v>61</v>
      </c>
      <c r="B36" t="s">
        <v>16</v>
      </c>
      <c r="C36" t="s">
        <v>17</v>
      </c>
      <c r="D36">
        <v>0</v>
      </c>
      <c r="E36" t="s">
        <v>18</v>
      </c>
      <c r="F36" t="s">
        <v>19</v>
      </c>
      <c r="G36">
        <v>2740</v>
      </c>
      <c r="H36">
        <v>1541</v>
      </c>
      <c r="I36">
        <v>101</v>
      </c>
      <c r="J36">
        <v>360</v>
      </c>
      <c r="K36">
        <v>1</v>
      </c>
      <c r="L36" t="s">
        <v>20</v>
      </c>
      <c r="M36">
        <v>4281</v>
      </c>
      <c r="N36">
        <v>2.3592618547068438E-2</v>
      </c>
      <c r="O36" t="s">
        <v>21</v>
      </c>
    </row>
    <row r="37" spans="1:15" x14ac:dyDescent="0.35">
      <c r="A37" t="s">
        <v>62</v>
      </c>
      <c r="B37" t="s">
        <v>16</v>
      </c>
      <c r="C37" t="s">
        <v>19</v>
      </c>
      <c r="D37">
        <v>0</v>
      </c>
      <c r="E37" t="s">
        <v>18</v>
      </c>
      <c r="F37" t="s">
        <v>19</v>
      </c>
      <c r="G37">
        <v>3150</v>
      </c>
      <c r="H37">
        <v>0</v>
      </c>
      <c r="I37">
        <v>176</v>
      </c>
      <c r="J37">
        <v>360</v>
      </c>
      <c r="K37">
        <v>0</v>
      </c>
      <c r="L37" t="s">
        <v>30</v>
      </c>
      <c r="M37">
        <v>3150</v>
      </c>
      <c r="N37">
        <v>5.5873015873015873E-2</v>
      </c>
      <c r="O37" t="s">
        <v>33</v>
      </c>
    </row>
    <row r="38" spans="1:15" x14ac:dyDescent="0.35">
      <c r="A38" t="s">
        <v>63</v>
      </c>
      <c r="B38" t="s">
        <v>16</v>
      </c>
      <c r="C38" t="s">
        <v>17</v>
      </c>
      <c r="D38">
        <v>2</v>
      </c>
      <c r="E38" t="s">
        <v>18</v>
      </c>
      <c r="F38" t="s">
        <v>19</v>
      </c>
      <c r="G38">
        <v>7350</v>
      </c>
      <c r="H38">
        <v>4029</v>
      </c>
      <c r="I38">
        <v>185</v>
      </c>
      <c r="J38">
        <v>180</v>
      </c>
      <c r="K38">
        <v>1</v>
      </c>
      <c r="L38" t="s">
        <v>20</v>
      </c>
      <c r="M38">
        <v>11379</v>
      </c>
      <c r="N38">
        <v>1.6258019158098248E-2</v>
      </c>
      <c r="O38" t="s">
        <v>21</v>
      </c>
    </row>
    <row r="39" spans="1:15" x14ac:dyDescent="0.35">
      <c r="A39" t="s">
        <v>64</v>
      </c>
      <c r="B39" t="s">
        <v>16</v>
      </c>
      <c r="C39" t="s">
        <v>17</v>
      </c>
      <c r="D39">
        <v>0</v>
      </c>
      <c r="E39" t="s">
        <v>18</v>
      </c>
      <c r="F39" t="s">
        <v>17</v>
      </c>
      <c r="G39">
        <v>2267</v>
      </c>
      <c r="H39">
        <v>2792</v>
      </c>
      <c r="I39">
        <v>90</v>
      </c>
      <c r="J39">
        <v>360</v>
      </c>
      <c r="K39">
        <v>1</v>
      </c>
      <c r="L39" t="s">
        <v>20</v>
      </c>
      <c r="M39">
        <v>5059</v>
      </c>
      <c r="N39">
        <v>1.7790077090334061E-2</v>
      </c>
      <c r="O39" t="s">
        <v>21</v>
      </c>
    </row>
    <row r="40" spans="1:15" x14ac:dyDescent="0.35">
      <c r="A40" t="s">
        <v>65</v>
      </c>
      <c r="B40" t="s">
        <v>16</v>
      </c>
      <c r="C40" t="s">
        <v>19</v>
      </c>
      <c r="D40">
        <v>0</v>
      </c>
      <c r="E40" t="s">
        <v>18</v>
      </c>
      <c r="F40" t="s">
        <v>17</v>
      </c>
      <c r="G40">
        <v>5833</v>
      </c>
      <c r="H40">
        <v>0</v>
      </c>
      <c r="I40">
        <v>116</v>
      </c>
      <c r="J40">
        <v>360</v>
      </c>
      <c r="K40">
        <v>1</v>
      </c>
      <c r="L40" t="s">
        <v>20</v>
      </c>
      <c r="M40">
        <v>5833</v>
      </c>
      <c r="N40">
        <v>1.9886850677181551E-2</v>
      </c>
      <c r="O40" t="s">
        <v>21</v>
      </c>
    </row>
    <row r="41" spans="1:15" x14ac:dyDescent="0.35">
      <c r="A41" t="s">
        <v>66</v>
      </c>
      <c r="B41" t="s">
        <v>16</v>
      </c>
      <c r="C41" t="s">
        <v>19</v>
      </c>
      <c r="D41">
        <v>0</v>
      </c>
      <c r="E41" t="s">
        <v>18</v>
      </c>
      <c r="F41" t="s">
        <v>19</v>
      </c>
      <c r="G41">
        <v>3643</v>
      </c>
      <c r="H41">
        <v>1963</v>
      </c>
      <c r="I41">
        <v>138</v>
      </c>
      <c r="J41">
        <v>360</v>
      </c>
      <c r="K41">
        <v>1</v>
      </c>
      <c r="L41" t="s">
        <v>20</v>
      </c>
      <c r="M41">
        <v>5606</v>
      </c>
      <c r="N41">
        <v>2.4616482340349629E-2</v>
      </c>
      <c r="O41" t="s">
        <v>21</v>
      </c>
    </row>
    <row r="42" spans="1:15" x14ac:dyDescent="0.35">
      <c r="A42" t="s">
        <v>67</v>
      </c>
      <c r="B42" t="s">
        <v>16</v>
      </c>
      <c r="C42" t="s">
        <v>17</v>
      </c>
      <c r="D42">
        <v>0</v>
      </c>
      <c r="E42" t="s">
        <v>18</v>
      </c>
      <c r="F42" t="s">
        <v>19</v>
      </c>
      <c r="G42">
        <v>5629</v>
      </c>
      <c r="H42">
        <v>818</v>
      </c>
      <c r="I42">
        <v>100</v>
      </c>
      <c r="J42">
        <v>360</v>
      </c>
      <c r="K42">
        <v>1</v>
      </c>
      <c r="L42" t="s">
        <v>20</v>
      </c>
      <c r="M42">
        <v>6447</v>
      </c>
      <c r="N42">
        <v>1.5511090429657211E-2</v>
      </c>
      <c r="O42" t="s">
        <v>21</v>
      </c>
    </row>
    <row r="43" spans="1:15" x14ac:dyDescent="0.35">
      <c r="A43" t="s">
        <v>68</v>
      </c>
      <c r="B43" t="s">
        <v>29</v>
      </c>
      <c r="C43" t="s">
        <v>19</v>
      </c>
      <c r="D43">
        <v>0</v>
      </c>
      <c r="E43" t="s">
        <v>18</v>
      </c>
      <c r="F43" t="s">
        <v>19</v>
      </c>
      <c r="G43">
        <v>3644</v>
      </c>
      <c r="H43">
        <v>0</v>
      </c>
      <c r="I43">
        <v>110</v>
      </c>
      <c r="J43">
        <v>360</v>
      </c>
      <c r="K43">
        <v>1</v>
      </c>
      <c r="L43" t="s">
        <v>20</v>
      </c>
      <c r="M43">
        <v>3644</v>
      </c>
      <c r="N43">
        <v>3.018660812294182E-2</v>
      </c>
      <c r="O43" t="s">
        <v>21</v>
      </c>
    </row>
    <row r="44" spans="1:15" x14ac:dyDescent="0.35">
      <c r="A44" t="s">
        <v>69</v>
      </c>
      <c r="B44" t="s">
        <v>16</v>
      </c>
      <c r="C44" t="s">
        <v>17</v>
      </c>
      <c r="D44">
        <v>0</v>
      </c>
      <c r="E44" t="s">
        <v>26</v>
      </c>
      <c r="F44" t="s">
        <v>19</v>
      </c>
      <c r="G44">
        <v>1750</v>
      </c>
      <c r="H44">
        <v>2024</v>
      </c>
      <c r="I44">
        <v>90</v>
      </c>
      <c r="J44">
        <v>360</v>
      </c>
      <c r="K44">
        <v>1</v>
      </c>
      <c r="L44" t="s">
        <v>30</v>
      </c>
      <c r="M44">
        <v>3774</v>
      </c>
      <c r="N44">
        <v>2.3847376788553261E-2</v>
      </c>
      <c r="O44" t="s">
        <v>21</v>
      </c>
    </row>
    <row r="45" spans="1:15" x14ac:dyDescent="0.35">
      <c r="A45" t="s">
        <v>70</v>
      </c>
      <c r="B45" t="s">
        <v>16</v>
      </c>
      <c r="C45" t="s">
        <v>19</v>
      </c>
      <c r="D45">
        <v>0</v>
      </c>
      <c r="E45" t="s">
        <v>18</v>
      </c>
      <c r="F45" t="s">
        <v>19</v>
      </c>
      <c r="G45">
        <v>6500</v>
      </c>
      <c r="H45">
        <v>2600</v>
      </c>
      <c r="I45">
        <v>200</v>
      </c>
      <c r="J45">
        <v>360</v>
      </c>
      <c r="K45">
        <v>1</v>
      </c>
      <c r="L45" t="s">
        <v>30</v>
      </c>
      <c r="M45">
        <v>9100</v>
      </c>
      <c r="N45">
        <v>2.197802197802198E-2</v>
      </c>
      <c r="O45" t="s">
        <v>21</v>
      </c>
    </row>
    <row r="46" spans="1:15" x14ac:dyDescent="0.35">
      <c r="A46" t="s">
        <v>71</v>
      </c>
      <c r="B46" t="s">
        <v>29</v>
      </c>
      <c r="C46" t="s">
        <v>19</v>
      </c>
      <c r="D46">
        <v>0</v>
      </c>
      <c r="E46" t="s">
        <v>18</v>
      </c>
      <c r="F46" t="s">
        <v>19</v>
      </c>
      <c r="G46">
        <v>3666</v>
      </c>
      <c r="H46">
        <v>0</v>
      </c>
      <c r="I46">
        <v>84</v>
      </c>
      <c r="J46">
        <v>360</v>
      </c>
      <c r="K46">
        <v>1</v>
      </c>
      <c r="L46" t="s">
        <v>20</v>
      </c>
      <c r="M46">
        <v>3666</v>
      </c>
      <c r="N46">
        <v>2.291325695581015E-2</v>
      </c>
      <c r="O46" t="s">
        <v>21</v>
      </c>
    </row>
    <row r="47" spans="1:15" x14ac:dyDescent="0.35">
      <c r="A47" t="s">
        <v>72</v>
      </c>
      <c r="B47" t="s">
        <v>16</v>
      </c>
      <c r="C47" t="s">
        <v>17</v>
      </c>
      <c r="D47">
        <v>0</v>
      </c>
      <c r="E47" t="s">
        <v>18</v>
      </c>
      <c r="F47" t="s">
        <v>19</v>
      </c>
      <c r="G47">
        <v>4260</v>
      </c>
      <c r="H47">
        <v>3900</v>
      </c>
      <c r="I47">
        <v>185</v>
      </c>
      <c r="J47">
        <v>360</v>
      </c>
      <c r="K47">
        <v>1</v>
      </c>
      <c r="L47" t="s">
        <v>20</v>
      </c>
      <c r="M47">
        <v>8160</v>
      </c>
      <c r="N47">
        <v>2.267156862745098E-2</v>
      </c>
      <c r="O47" t="s">
        <v>21</v>
      </c>
    </row>
    <row r="48" spans="1:15" x14ac:dyDescent="0.35">
      <c r="A48" t="s">
        <v>73</v>
      </c>
      <c r="B48" t="s">
        <v>16</v>
      </c>
      <c r="C48" t="s">
        <v>17</v>
      </c>
      <c r="D48">
        <v>0</v>
      </c>
      <c r="E48" t="s">
        <v>26</v>
      </c>
      <c r="F48" t="s">
        <v>19</v>
      </c>
      <c r="G48">
        <v>4163</v>
      </c>
      <c r="H48">
        <v>1475</v>
      </c>
      <c r="I48">
        <v>162</v>
      </c>
      <c r="J48">
        <v>360</v>
      </c>
      <c r="K48">
        <v>1</v>
      </c>
      <c r="L48" t="s">
        <v>20</v>
      </c>
      <c r="M48">
        <v>5638</v>
      </c>
      <c r="N48">
        <v>2.8733593472862719E-2</v>
      </c>
      <c r="O48" t="s">
        <v>21</v>
      </c>
    </row>
    <row r="49" spans="1:15" x14ac:dyDescent="0.35">
      <c r="A49" t="s">
        <v>74</v>
      </c>
      <c r="B49" t="s">
        <v>16</v>
      </c>
      <c r="C49" t="s">
        <v>19</v>
      </c>
      <c r="D49">
        <v>0</v>
      </c>
      <c r="E49" t="s">
        <v>26</v>
      </c>
      <c r="F49" t="s">
        <v>19</v>
      </c>
      <c r="G49">
        <v>2356</v>
      </c>
      <c r="H49">
        <v>1902</v>
      </c>
      <c r="I49">
        <v>108</v>
      </c>
      <c r="J49">
        <v>360</v>
      </c>
      <c r="K49">
        <v>1</v>
      </c>
      <c r="L49" t="s">
        <v>30</v>
      </c>
      <c r="M49">
        <v>4258</v>
      </c>
      <c r="N49">
        <v>2.5364020666979799E-2</v>
      </c>
      <c r="O49" t="s">
        <v>21</v>
      </c>
    </row>
    <row r="50" spans="1:15" x14ac:dyDescent="0.35">
      <c r="A50" t="s">
        <v>75</v>
      </c>
      <c r="B50" t="s">
        <v>16</v>
      </c>
      <c r="C50" t="s">
        <v>19</v>
      </c>
      <c r="D50">
        <v>0</v>
      </c>
      <c r="E50" t="s">
        <v>18</v>
      </c>
      <c r="F50" t="s">
        <v>19</v>
      </c>
      <c r="G50">
        <v>6792</v>
      </c>
      <c r="H50">
        <v>3338</v>
      </c>
      <c r="I50">
        <v>187</v>
      </c>
      <c r="J50">
        <v>360</v>
      </c>
      <c r="K50">
        <v>1</v>
      </c>
      <c r="L50" t="s">
        <v>20</v>
      </c>
      <c r="M50">
        <v>10130</v>
      </c>
      <c r="N50">
        <v>1.8460019743336619E-2</v>
      </c>
      <c r="O50" t="s">
        <v>21</v>
      </c>
    </row>
    <row r="51" spans="1:15" x14ac:dyDescent="0.35">
      <c r="A51" t="s">
        <v>76</v>
      </c>
      <c r="B51" t="s">
        <v>16</v>
      </c>
      <c r="C51" t="s">
        <v>17</v>
      </c>
      <c r="D51" t="s">
        <v>39</v>
      </c>
      <c r="E51" t="s">
        <v>26</v>
      </c>
      <c r="F51" t="s">
        <v>17</v>
      </c>
      <c r="G51">
        <v>8000</v>
      </c>
      <c r="H51">
        <v>250</v>
      </c>
      <c r="I51">
        <v>187</v>
      </c>
      <c r="J51">
        <v>360</v>
      </c>
      <c r="K51">
        <v>1</v>
      </c>
      <c r="L51" t="s">
        <v>30</v>
      </c>
      <c r="M51">
        <v>8250</v>
      </c>
      <c r="N51">
        <v>2.2666666666666668E-2</v>
      </c>
      <c r="O51" t="s">
        <v>21</v>
      </c>
    </row>
    <row r="52" spans="1:15" x14ac:dyDescent="0.35">
      <c r="A52" t="s">
        <v>77</v>
      </c>
      <c r="B52" t="s">
        <v>16</v>
      </c>
      <c r="C52" t="s">
        <v>17</v>
      </c>
      <c r="D52">
        <v>1</v>
      </c>
      <c r="E52" t="s">
        <v>18</v>
      </c>
      <c r="F52" t="s">
        <v>19</v>
      </c>
      <c r="G52">
        <v>2419</v>
      </c>
      <c r="H52">
        <v>1707</v>
      </c>
      <c r="I52">
        <v>124</v>
      </c>
      <c r="J52">
        <v>360</v>
      </c>
      <c r="K52">
        <v>1</v>
      </c>
      <c r="L52" t="s">
        <v>20</v>
      </c>
      <c r="M52">
        <v>4126</v>
      </c>
      <c r="N52">
        <v>3.0053320407174022E-2</v>
      </c>
      <c r="O52" t="s">
        <v>21</v>
      </c>
    </row>
    <row r="53" spans="1:15" x14ac:dyDescent="0.35">
      <c r="A53" t="s">
        <v>78</v>
      </c>
      <c r="B53" t="s">
        <v>16</v>
      </c>
      <c r="C53" t="s">
        <v>17</v>
      </c>
      <c r="D53" t="s">
        <v>39</v>
      </c>
      <c r="E53" t="s">
        <v>26</v>
      </c>
      <c r="F53" t="s">
        <v>19</v>
      </c>
      <c r="G53">
        <v>3500</v>
      </c>
      <c r="H53">
        <v>833</v>
      </c>
      <c r="I53">
        <v>120</v>
      </c>
      <c r="J53">
        <v>360</v>
      </c>
      <c r="K53">
        <v>1</v>
      </c>
      <c r="L53" t="s">
        <v>30</v>
      </c>
      <c r="M53">
        <v>4333</v>
      </c>
      <c r="N53">
        <v>2.7694438033694899E-2</v>
      </c>
      <c r="O53" t="s">
        <v>21</v>
      </c>
    </row>
    <row r="54" spans="1:15" x14ac:dyDescent="0.35">
      <c r="A54" t="s">
        <v>79</v>
      </c>
      <c r="B54" t="s">
        <v>16</v>
      </c>
      <c r="C54" t="s">
        <v>17</v>
      </c>
      <c r="D54">
        <v>1</v>
      </c>
      <c r="E54" t="s">
        <v>18</v>
      </c>
      <c r="F54" t="s">
        <v>19</v>
      </c>
      <c r="G54">
        <v>3500</v>
      </c>
      <c r="H54">
        <v>3077</v>
      </c>
      <c r="I54">
        <v>160</v>
      </c>
      <c r="J54">
        <v>360</v>
      </c>
      <c r="K54">
        <v>1</v>
      </c>
      <c r="L54" t="s">
        <v>30</v>
      </c>
      <c r="M54">
        <v>6577</v>
      </c>
      <c r="N54">
        <v>2.4327200851452031E-2</v>
      </c>
      <c r="O54" t="s">
        <v>21</v>
      </c>
    </row>
    <row r="55" spans="1:15" x14ac:dyDescent="0.35">
      <c r="A55" t="s">
        <v>80</v>
      </c>
      <c r="B55" t="s">
        <v>16</v>
      </c>
      <c r="C55" t="s">
        <v>17</v>
      </c>
      <c r="D55">
        <v>2</v>
      </c>
      <c r="E55" t="s">
        <v>18</v>
      </c>
      <c r="F55" t="s">
        <v>19</v>
      </c>
      <c r="G55">
        <v>4116</v>
      </c>
      <c r="H55">
        <v>1000</v>
      </c>
      <c r="I55">
        <v>30</v>
      </c>
      <c r="J55">
        <v>180</v>
      </c>
      <c r="K55">
        <v>1</v>
      </c>
      <c r="L55" t="s">
        <v>20</v>
      </c>
      <c r="M55">
        <v>5116</v>
      </c>
      <c r="N55">
        <v>5.8639562157935888E-3</v>
      </c>
      <c r="O55" t="s">
        <v>21</v>
      </c>
    </row>
    <row r="56" spans="1:15" x14ac:dyDescent="0.35">
      <c r="A56" t="s">
        <v>81</v>
      </c>
      <c r="B56" t="s">
        <v>16</v>
      </c>
      <c r="C56" t="s">
        <v>17</v>
      </c>
      <c r="D56">
        <v>0</v>
      </c>
      <c r="E56" t="s">
        <v>26</v>
      </c>
      <c r="F56" t="s">
        <v>17</v>
      </c>
      <c r="G56">
        <v>5293</v>
      </c>
      <c r="H56">
        <v>0</v>
      </c>
      <c r="I56">
        <v>92</v>
      </c>
      <c r="J56">
        <v>360</v>
      </c>
      <c r="K56">
        <v>1</v>
      </c>
      <c r="L56" t="s">
        <v>20</v>
      </c>
      <c r="M56">
        <v>5293</v>
      </c>
      <c r="N56">
        <v>1.738144719440771E-2</v>
      </c>
      <c r="O56" t="s">
        <v>21</v>
      </c>
    </row>
    <row r="57" spans="1:15" x14ac:dyDescent="0.35">
      <c r="A57" t="s">
        <v>82</v>
      </c>
      <c r="B57" t="s">
        <v>16</v>
      </c>
      <c r="C57" t="s">
        <v>19</v>
      </c>
      <c r="D57">
        <v>0</v>
      </c>
      <c r="E57" t="s">
        <v>18</v>
      </c>
      <c r="F57" t="s">
        <v>19</v>
      </c>
      <c r="G57">
        <v>2750</v>
      </c>
      <c r="H57">
        <v>0</v>
      </c>
      <c r="I57">
        <v>130</v>
      </c>
      <c r="J57">
        <v>360</v>
      </c>
      <c r="K57">
        <v>0</v>
      </c>
      <c r="L57" t="s">
        <v>20</v>
      </c>
      <c r="M57">
        <v>2750</v>
      </c>
      <c r="N57">
        <v>4.7272727272727272E-2</v>
      </c>
      <c r="O57" t="s">
        <v>33</v>
      </c>
    </row>
    <row r="58" spans="1:15" x14ac:dyDescent="0.35">
      <c r="A58" t="s">
        <v>83</v>
      </c>
      <c r="B58" t="s">
        <v>29</v>
      </c>
      <c r="C58" t="s">
        <v>19</v>
      </c>
      <c r="D58">
        <v>0</v>
      </c>
      <c r="E58" t="s">
        <v>26</v>
      </c>
      <c r="F58" t="s">
        <v>19</v>
      </c>
      <c r="G58">
        <v>4402</v>
      </c>
      <c r="H58">
        <v>0</v>
      </c>
      <c r="I58">
        <v>130</v>
      </c>
      <c r="J58">
        <v>360</v>
      </c>
      <c r="K58">
        <v>1</v>
      </c>
      <c r="L58" t="s">
        <v>32</v>
      </c>
      <c r="M58">
        <v>4402</v>
      </c>
      <c r="N58">
        <v>2.953203089504771E-2</v>
      </c>
      <c r="O58" t="s">
        <v>21</v>
      </c>
    </row>
    <row r="59" spans="1:15" x14ac:dyDescent="0.35">
      <c r="A59" t="s">
        <v>84</v>
      </c>
      <c r="B59" t="s">
        <v>16</v>
      </c>
      <c r="C59" t="s">
        <v>17</v>
      </c>
      <c r="D59">
        <v>2</v>
      </c>
      <c r="E59" t="s">
        <v>18</v>
      </c>
      <c r="F59" t="s">
        <v>19</v>
      </c>
      <c r="G59">
        <v>3613</v>
      </c>
      <c r="H59">
        <v>3539</v>
      </c>
      <c r="I59">
        <v>134</v>
      </c>
      <c r="J59">
        <v>180</v>
      </c>
      <c r="K59">
        <v>1</v>
      </c>
      <c r="L59" t="s">
        <v>30</v>
      </c>
      <c r="M59">
        <v>7152</v>
      </c>
      <c r="N59">
        <v>1.8736017897091721E-2</v>
      </c>
      <c r="O59" t="s">
        <v>21</v>
      </c>
    </row>
    <row r="60" spans="1:15" x14ac:dyDescent="0.35">
      <c r="A60" t="s">
        <v>85</v>
      </c>
      <c r="B60" t="s">
        <v>29</v>
      </c>
      <c r="C60" t="s">
        <v>17</v>
      </c>
      <c r="D60">
        <v>2</v>
      </c>
      <c r="E60" t="s">
        <v>18</v>
      </c>
      <c r="F60" t="s">
        <v>19</v>
      </c>
      <c r="G60">
        <v>2779</v>
      </c>
      <c r="H60">
        <v>3664</v>
      </c>
      <c r="I60">
        <v>176</v>
      </c>
      <c r="J60">
        <v>360</v>
      </c>
      <c r="K60">
        <v>0</v>
      </c>
      <c r="L60" t="s">
        <v>30</v>
      </c>
      <c r="M60">
        <v>6443</v>
      </c>
      <c r="N60">
        <v>2.7316467484091261E-2</v>
      </c>
      <c r="O60" t="s">
        <v>33</v>
      </c>
    </row>
    <row r="61" spans="1:15" x14ac:dyDescent="0.35">
      <c r="A61" t="s">
        <v>86</v>
      </c>
      <c r="B61" t="s">
        <v>16</v>
      </c>
      <c r="C61" t="s">
        <v>17</v>
      </c>
      <c r="D61" t="s">
        <v>39</v>
      </c>
      <c r="E61" t="s">
        <v>18</v>
      </c>
      <c r="F61" t="s">
        <v>19</v>
      </c>
      <c r="G61">
        <v>4720</v>
      </c>
      <c r="H61">
        <v>0</v>
      </c>
      <c r="I61">
        <v>90</v>
      </c>
      <c r="J61">
        <v>180</v>
      </c>
      <c r="K61">
        <v>1</v>
      </c>
      <c r="L61" t="s">
        <v>30</v>
      </c>
      <c r="M61">
        <v>4720</v>
      </c>
      <c r="N61">
        <v>1.9067796610169489E-2</v>
      </c>
      <c r="O61" t="s">
        <v>21</v>
      </c>
    </row>
    <row r="62" spans="1:15" x14ac:dyDescent="0.35">
      <c r="A62" t="s">
        <v>87</v>
      </c>
      <c r="B62" t="s">
        <v>16</v>
      </c>
      <c r="C62" t="s">
        <v>17</v>
      </c>
      <c r="D62">
        <v>0</v>
      </c>
      <c r="E62" t="s">
        <v>26</v>
      </c>
      <c r="F62" t="s">
        <v>19</v>
      </c>
      <c r="G62">
        <v>2415</v>
      </c>
      <c r="H62">
        <v>1721</v>
      </c>
      <c r="I62">
        <v>110</v>
      </c>
      <c r="J62">
        <v>360</v>
      </c>
      <c r="K62">
        <v>1</v>
      </c>
      <c r="L62" t="s">
        <v>30</v>
      </c>
      <c r="M62">
        <v>4136</v>
      </c>
      <c r="N62">
        <v>2.6595744680851061E-2</v>
      </c>
      <c r="O62" t="s">
        <v>21</v>
      </c>
    </row>
    <row r="63" spans="1:15" x14ac:dyDescent="0.35">
      <c r="A63" t="s">
        <v>88</v>
      </c>
      <c r="B63" t="s">
        <v>16</v>
      </c>
      <c r="C63" t="s">
        <v>17</v>
      </c>
      <c r="D63">
        <v>0</v>
      </c>
      <c r="E63" t="s">
        <v>18</v>
      </c>
      <c r="F63" t="s">
        <v>17</v>
      </c>
      <c r="G63">
        <v>7016</v>
      </c>
      <c r="H63">
        <v>292</v>
      </c>
      <c r="I63">
        <v>125</v>
      </c>
      <c r="J63">
        <v>360</v>
      </c>
      <c r="K63">
        <v>1</v>
      </c>
      <c r="L63" t="s">
        <v>20</v>
      </c>
      <c r="M63">
        <v>7308</v>
      </c>
      <c r="N63">
        <v>1.710454296661193E-2</v>
      </c>
      <c r="O63" t="s">
        <v>21</v>
      </c>
    </row>
    <row r="64" spans="1:15" x14ac:dyDescent="0.35">
      <c r="A64" t="s">
        <v>89</v>
      </c>
      <c r="B64" t="s">
        <v>29</v>
      </c>
      <c r="C64" t="s">
        <v>19</v>
      </c>
      <c r="D64">
        <v>2</v>
      </c>
      <c r="E64" t="s">
        <v>18</v>
      </c>
      <c r="F64" t="s">
        <v>19</v>
      </c>
      <c r="G64">
        <v>4968</v>
      </c>
      <c r="H64">
        <v>0</v>
      </c>
      <c r="I64">
        <v>189</v>
      </c>
      <c r="J64">
        <v>360</v>
      </c>
      <c r="K64">
        <v>1</v>
      </c>
      <c r="L64" t="s">
        <v>30</v>
      </c>
      <c r="M64">
        <v>4968</v>
      </c>
      <c r="N64">
        <v>3.8043478260869568E-2</v>
      </c>
      <c r="O64" t="s">
        <v>21</v>
      </c>
    </row>
    <row r="65" spans="1:15" x14ac:dyDescent="0.35">
      <c r="A65" t="s">
        <v>90</v>
      </c>
      <c r="B65" t="s">
        <v>29</v>
      </c>
      <c r="C65" t="s">
        <v>19</v>
      </c>
      <c r="D65">
        <v>0</v>
      </c>
      <c r="E65" t="s">
        <v>18</v>
      </c>
      <c r="F65" t="s">
        <v>19</v>
      </c>
      <c r="G65">
        <v>2101</v>
      </c>
      <c r="H65">
        <v>1500</v>
      </c>
      <c r="I65">
        <v>108</v>
      </c>
      <c r="J65">
        <v>360</v>
      </c>
      <c r="K65">
        <v>0</v>
      </c>
      <c r="L65" t="s">
        <v>32</v>
      </c>
      <c r="M65">
        <v>3601</v>
      </c>
      <c r="N65">
        <v>2.9991668980838659E-2</v>
      </c>
      <c r="O65" t="s">
        <v>33</v>
      </c>
    </row>
    <row r="66" spans="1:15" x14ac:dyDescent="0.35">
      <c r="A66" t="s">
        <v>91</v>
      </c>
      <c r="B66" t="s">
        <v>16</v>
      </c>
      <c r="C66" t="s">
        <v>17</v>
      </c>
      <c r="D66" t="s">
        <v>39</v>
      </c>
      <c r="E66" t="s">
        <v>26</v>
      </c>
      <c r="F66" t="s">
        <v>19</v>
      </c>
      <c r="G66">
        <v>4490</v>
      </c>
      <c r="H66">
        <v>0</v>
      </c>
      <c r="I66">
        <v>125</v>
      </c>
      <c r="J66">
        <v>360</v>
      </c>
      <c r="K66">
        <v>1</v>
      </c>
      <c r="L66" t="s">
        <v>20</v>
      </c>
      <c r="M66">
        <v>4490</v>
      </c>
      <c r="N66">
        <v>2.7839643652561249E-2</v>
      </c>
      <c r="O66" t="s">
        <v>21</v>
      </c>
    </row>
    <row r="67" spans="1:15" x14ac:dyDescent="0.35">
      <c r="A67" t="s">
        <v>92</v>
      </c>
      <c r="B67" t="s">
        <v>16</v>
      </c>
      <c r="C67" t="s">
        <v>17</v>
      </c>
      <c r="D67">
        <v>0</v>
      </c>
      <c r="E67" t="s">
        <v>18</v>
      </c>
      <c r="F67" t="s">
        <v>19</v>
      </c>
      <c r="G67">
        <v>2917</v>
      </c>
      <c r="H67">
        <v>3583</v>
      </c>
      <c r="I67">
        <v>138</v>
      </c>
      <c r="J67">
        <v>360</v>
      </c>
      <c r="K67">
        <v>1</v>
      </c>
      <c r="L67" t="s">
        <v>30</v>
      </c>
      <c r="M67">
        <v>6500</v>
      </c>
      <c r="N67">
        <v>2.123076923076923E-2</v>
      </c>
      <c r="O67" t="s">
        <v>21</v>
      </c>
    </row>
    <row r="68" spans="1:15" x14ac:dyDescent="0.35">
      <c r="A68" t="s">
        <v>93</v>
      </c>
      <c r="B68" t="s">
        <v>16</v>
      </c>
      <c r="C68" t="s">
        <v>17</v>
      </c>
      <c r="D68">
        <v>0</v>
      </c>
      <c r="E68" t="s">
        <v>26</v>
      </c>
      <c r="F68" t="s">
        <v>19</v>
      </c>
      <c r="G68">
        <v>4700</v>
      </c>
      <c r="H68">
        <v>0</v>
      </c>
      <c r="I68">
        <v>135</v>
      </c>
      <c r="J68">
        <v>360</v>
      </c>
      <c r="K68">
        <v>0</v>
      </c>
      <c r="L68" t="s">
        <v>30</v>
      </c>
      <c r="M68">
        <v>4700</v>
      </c>
      <c r="N68">
        <v>2.8723404255319149E-2</v>
      </c>
      <c r="O68" t="s">
        <v>33</v>
      </c>
    </row>
    <row r="69" spans="1:15" x14ac:dyDescent="0.35">
      <c r="A69" t="s">
        <v>94</v>
      </c>
      <c r="B69" t="s">
        <v>16</v>
      </c>
      <c r="C69" t="s">
        <v>17</v>
      </c>
      <c r="D69">
        <v>0</v>
      </c>
      <c r="E69" t="s">
        <v>18</v>
      </c>
      <c r="F69" t="s">
        <v>19</v>
      </c>
      <c r="G69">
        <v>3445</v>
      </c>
      <c r="H69">
        <v>0</v>
      </c>
      <c r="I69">
        <v>130</v>
      </c>
      <c r="J69">
        <v>360</v>
      </c>
      <c r="K69">
        <v>0</v>
      </c>
      <c r="L69" t="s">
        <v>30</v>
      </c>
      <c r="M69">
        <v>3445</v>
      </c>
      <c r="N69">
        <v>3.7735849056603772E-2</v>
      </c>
      <c r="O69" t="s">
        <v>33</v>
      </c>
    </row>
    <row r="70" spans="1:15" x14ac:dyDescent="0.35">
      <c r="A70" t="s">
        <v>95</v>
      </c>
      <c r="B70" t="s">
        <v>16</v>
      </c>
      <c r="C70" t="s">
        <v>17</v>
      </c>
      <c r="D70">
        <v>0</v>
      </c>
      <c r="E70" t="s">
        <v>18</v>
      </c>
      <c r="F70" t="s">
        <v>19</v>
      </c>
      <c r="G70">
        <v>7666</v>
      </c>
      <c r="H70">
        <v>0</v>
      </c>
      <c r="I70">
        <v>187</v>
      </c>
      <c r="J70">
        <v>360</v>
      </c>
      <c r="K70">
        <v>1</v>
      </c>
      <c r="L70" t="s">
        <v>30</v>
      </c>
      <c r="M70">
        <v>7666</v>
      </c>
      <c r="N70">
        <v>2.4393425515262201E-2</v>
      </c>
      <c r="O70" t="s">
        <v>21</v>
      </c>
    </row>
    <row r="71" spans="1:15" x14ac:dyDescent="0.35">
      <c r="A71" t="s">
        <v>96</v>
      </c>
      <c r="B71" t="s">
        <v>16</v>
      </c>
      <c r="C71" t="s">
        <v>17</v>
      </c>
      <c r="D71">
        <v>0</v>
      </c>
      <c r="E71" t="s">
        <v>18</v>
      </c>
      <c r="F71" t="s">
        <v>19</v>
      </c>
      <c r="G71">
        <v>2458</v>
      </c>
      <c r="H71">
        <v>5105</v>
      </c>
      <c r="I71">
        <v>188</v>
      </c>
      <c r="J71">
        <v>360</v>
      </c>
      <c r="K71">
        <v>0</v>
      </c>
      <c r="L71" t="s">
        <v>32</v>
      </c>
      <c r="M71">
        <v>7563</v>
      </c>
      <c r="N71">
        <v>2.4857860637313239E-2</v>
      </c>
      <c r="O71" t="s">
        <v>33</v>
      </c>
    </row>
    <row r="72" spans="1:15" x14ac:dyDescent="0.35">
      <c r="A72" t="s">
        <v>97</v>
      </c>
      <c r="B72" t="s">
        <v>29</v>
      </c>
      <c r="C72" t="s">
        <v>19</v>
      </c>
      <c r="D72">
        <v>0</v>
      </c>
      <c r="E72" t="s">
        <v>18</v>
      </c>
      <c r="F72" t="s">
        <v>19</v>
      </c>
      <c r="G72">
        <v>3250</v>
      </c>
      <c r="H72">
        <v>0</v>
      </c>
      <c r="I72">
        <v>95</v>
      </c>
      <c r="J72">
        <v>360</v>
      </c>
      <c r="K72">
        <v>1</v>
      </c>
      <c r="L72" t="s">
        <v>30</v>
      </c>
      <c r="M72">
        <v>3250</v>
      </c>
      <c r="N72">
        <v>2.923076923076923E-2</v>
      </c>
      <c r="O72" t="s">
        <v>21</v>
      </c>
    </row>
    <row r="73" spans="1:15" x14ac:dyDescent="0.35">
      <c r="A73" t="s">
        <v>98</v>
      </c>
      <c r="B73" t="s">
        <v>16</v>
      </c>
      <c r="C73" t="s">
        <v>19</v>
      </c>
      <c r="D73">
        <v>0</v>
      </c>
      <c r="E73" t="s">
        <v>18</v>
      </c>
      <c r="F73" t="s">
        <v>19</v>
      </c>
      <c r="G73">
        <v>4463</v>
      </c>
      <c r="H73">
        <v>0</v>
      </c>
      <c r="I73">
        <v>65</v>
      </c>
      <c r="J73">
        <v>360</v>
      </c>
      <c r="K73">
        <v>1</v>
      </c>
      <c r="L73" t="s">
        <v>30</v>
      </c>
      <c r="M73">
        <v>4463</v>
      </c>
      <c r="N73">
        <v>1.456419448801255E-2</v>
      </c>
      <c r="O73" t="s">
        <v>21</v>
      </c>
    </row>
    <row r="74" spans="1:15" x14ac:dyDescent="0.35">
      <c r="A74" t="s">
        <v>99</v>
      </c>
      <c r="B74" t="s">
        <v>16</v>
      </c>
      <c r="C74" t="s">
        <v>17</v>
      </c>
      <c r="D74">
        <v>1</v>
      </c>
      <c r="E74" t="s">
        <v>18</v>
      </c>
      <c r="F74" t="s">
        <v>19</v>
      </c>
      <c r="G74">
        <v>4083</v>
      </c>
      <c r="H74">
        <v>1775</v>
      </c>
      <c r="I74">
        <v>139</v>
      </c>
      <c r="J74">
        <v>60</v>
      </c>
      <c r="K74">
        <v>1</v>
      </c>
      <c r="L74" t="s">
        <v>20</v>
      </c>
      <c r="M74">
        <v>5858</v>
      </c>
      <c r="N74">
        <v>2.372823489245476E-2</v>
      </c>
      <c r="O74" t="s">
        <v>21</v>
      </c>
    </row>
    <row r="75" spans="1:15" x14ac:dyDescent="0.35">
      <c r="A75" t="s">
        <v>100</v>
      </c>
      <c r="B75" t="s">
        <v>16</v>
      </c>
      <c r="C75" t="s">
        <v>17</v>
      </c>
      <c r="D75">
        <v>0</v>
      </c>
      <c r="E75" t="s">
        <v>18</v>
      </c>
      <c r="F75" t="s">
        <v>17</v>
      </c>
      <c r="G75">
        <v>3900</v>
      </c>
      <c r="H75">
        <v>2094</v>
      </c>
      <c r="I75">
        <v>232</v>
      </c>
      <c r="J75">
        <v>360</v>
      </c>
      <c r="K75">
        <v>1</v>
      </c>
      <c r="L75" t="s">
        <v>32</v>
      </c>
      <c r="M75">
        <v>5994</v>
      </c>
      <c r="N75">
        <v>3.8705372038705367E-2</v>
      </c>
      <c r="O75" t="s">
        <v>21</v>
      </c>
    </row>
    <row r="76" spans="1:15" x14ac:dyDescent="0.35">
      <c r="A76" t="s">
        <v>101</v>
      </c>
      <c r="B76" t="s">
        <v>16</v>
      </c>
      <c r="C76" t="s">
        <v>17</v>
      </c>
      <c r="D76">
        <v>0</v>
      </c>
      <c r="E76" t="s">
        <v>26</v>
      </c>
      <c r="F76" t="s">
        <v>19</v>
      </c>
      <c r="G76">
        <v>4750</v>
      </c>
      <c r="H76">
        <v>3583</v>
      </c>
      <c r="I76">
        <v>144</v>
      </c>
      <c r="J76">
        <v>360</v>
      </c>
      <c r="K76">
        <v>1</v>
      </c>
      <c r="L76" t="s">
        <v>30</v>
      </c>
      <c r="M76">
        <v>8333</v>
      </c>
      <c r="N76">
        <v>1.7280691227649109E-2</v>
      </c>
      <c r="O76" t="s">
        <v>21</v>
      </c>
    </row>
    <row r="77" spans="1:15" x14ac:dyDescent="0.35">
      <c r="A77" t="s">
        <v>102</v>
      </c>
      <c r="B77" t="s">
        <v>16</v>
      </c>
      <c r="C77" t="s">
        <v>19</v>
      </c>
      <c r="D77">
        <v>0</v>
      </c>
      <c r="E77" t="s">
        <v>18</v>
      </c>
      <c r="F77" t="s">
        <v>19</v>
      </c>
      <c r="G77">
        <v>3583</v>
      </c>
      <c r="H77">
        <v>3435</v>
      </c>
      <c r="I77">
        <v>155</v>
      </c>
      <c r="J77">
        <v>360</v>
      </c>
      <c r="K77">
        <v>1</v>
      </c>
      <c r="L77" t="s">
        <v>20</v>
      </c>
      <c r="M77">
        <v>7018</v>
      </c>
      <c r="N77">
        <v>2.2086064405813621E-2</v>
      </c>
      <c r="O77" t="s">
        <v>21</v>
      </c>
    </row>
    <row r="78" spans="1:15" x14ac:dyDescent="0.35">
      <c r="A78" t="s">
        <v>103</v>
      </c>
      <c r="B78" t="s">
        <v>16</v>
      </c>
      <c r="C78" t="s">
        <v>17</v>
      </c>
      <c r="D78">
        <v>0</v>
      </c>
      <c r="E78" t="s">
        <v>18</v>
      </c>
      <c r="F78" t="s">
        <v>19</v>
      </c>
      <c r="G78">
        <v>3189</v>
      </c>
      <c r="H78">
        <v>2367</v>
      </c>
      <c r="I78">
        <v>186</v>
      </c>
      <c r="J78">
        <v>360</v>
      </c>
      <c r="K78">
        <v>1</v>
      </c>
      <c r="L78" t="s">
        <v>20</v>
      </c>
      <c r="M78">
        <v>5556</v>
      </c>
      <c r="N78">
        <v>3.3477321814254862E-2</v>
      </c>
      <c r="O78" t="s">
        <v>21</v>
      </c>
    </row>
    <row r="79" spans="1:15" x14ac:dyDescent="0.35">
      <c r="A79" t="s">
        <v>104</v>
      </c>
      <c r="B79" t="s">
        <v>16</v>
      </c>
      <c r="C79" t="s">
        <v>19</v>
      </c>
      <c r="D79">
        <v>0</v>
      </c>
      <c r="E79" t="s">
        <v>18</v>
      </c>
      <c r="F79" t="s">
        <v>17</v>
      </c>
      <c r="G79">
        <v>6356</v>
      </c>
      <c r="H79">
        <v>0</v>
      </c>
      <c r="I79">
        <v>50</v>
      </c>
      <c r="J79">
        <v>360</v>
      </c>
      <c r="K79">
        <v>1</v>
      </c>
      <c r="L79" t="s">
        <v>32</v>
      </c>
      <c r="M79">
        <v>6356</v>
      </c>
      <c r="N79">
        <v>7.866582756450597E-3</v>
      </c>
      <c r="O79" t="s">
        <v>21</v>
      </c>
    </row>
    <row r="80" spans="1:15" x14ac:dyDescent="0.35">
      <c r="A80" t="s">
        <v>105</v>
      </c>
      <c r="B80" t="s">
        <v>16</v>
      </c>
      <c r="C80" t="s">
        <v>17</v>
      </c>
      <c r="D80">
        <v>1</v>
      </c>
      <c r="E80" t="s">
        <v>18</v>
      </c>
      <c r="F80" t="s">
        <v>19</v>
      </c>
      <c r="G80">
        <v>3413</v>
      </c>
      <c r="H80">
        <v>4053</v>
      </c>
      <c r="I80">
        <v>125</v>
      </c>
      <c r="J80">
        <v>360</v>
      </c>
      <c r="K80">
        <v>1</v>
      </c>
      <c r="L80" t="s">
        <v>30</v>
      </c>
      <c r="M80">
        <v>7466</v>
      </c>
      <c r="N80">
        <v>1.6742566300562551E-2</v>
      </c>
      <c r="O80" t="s">
        <v>21</v>
      </c>
    </row>
    <row r="81" spans="1:15" x14ac:dyDescent="0.35">
      <c r="A81" t="s">
        <v>106</v>
      </c>
      <c r="B81" t="s">
        <v>29</v>
      </c>
      <c r="C81" t="s">
        <v>17</v>
      </c>
      <c r="D81">
        <v>0</v>
      </c>
      <c r="E81" t="s">
        <v>18</v>
      </c>
      <c r="F81" t="s">
        <v>19</v>
      </c>
      <c r="G81">
        <v>7950</v>
      </c>
      <c r="H81">
        <v>0</v>
      </c>
      <c r="I81">
        <v>185</v>
      </c>
      <c r="J81">
        <v>360</v>
      </c>
      <c r="K81">
        <v>1</v>
      </c>
      <c r="L81" t="s">
        <v>20</v>
      </c>
      <c r="M81">
        <v>7950</v>
      </c>
      <c r="N81">
        <v>2.3270440251572329E-2</v>
      </c>
      <c r="O81" t="s">
        <v>21</v>
      </c>
    </row>
    <row r="82" spans="1:15" x14ac:dyDescent="0.35">
      <c r="A82" t="s">
        <v>107</v>
      </c>
      <c r="B82" t="s">
        <v>16</v>
      </c>
      <c r="C82" t="s">
        <v>17</v>
      </c>
      <c r="D82" t="s">
        <v>39</v>
      </c>
      <c r="E82" t="s">
        <v>18</v>
      </c>
      <c r="F82" t="s">
        <v>19</v>
      </c>
      <c r="G82">
        <v>3829</v>
      </c>
      <c r="H82">
        <v>1103</v>
      </c>
      <c r="I82">
        <v>163</v>
      </c>
      <c r="J82">
        <v>360</v>
      </c>
      <c r="K82">
        <v>0</v>
      </c>
      <c r="L82" t="s">
        <v>20</v>
      </c>
      <c r="M82">
        <v>4932</v>
      </c>
      <c r="N82">
        <v>3.3049472830494718E-2</v>
      </c>
      <c r="O82" t="s">
        <v>33</v>
      </c>
    </row>
    <row r="83" spans="1:15" x14ac:dyDescent="0.35">
      <c r="A83" t="s">
        <v>108</v>
      </c>
      <c r="B83" t="s">
        <v>16</v>
      </c>
      <c r="C83" t="s">
        <v>17</v>
      </c>
      <c r="D83" t="s">
        <v>39</v>
      </c>
      <c r="E83" t="s">
        <v>18</v>
      </c>
      <c r="F83" t="s">
        <v>19</v>
      </c>
      <c r="G83">
        <v>72529</v>
      </c>
      <c r="H83">
        <v>0</v>
      </c>
      <c r="I83">
        <v>360</v>
      </c>
      <c r="J83">
        <v>360</v>
      </c>
      <c r="K83">
        <v>1</v>
      </c>
      <c r="L83" t="s">
        <v>20</v>
      </c>
      <c r="M83">
        <v>72529</v>
      </c>
      <c r="N83">
        <v>4.9635318286478511E-3</v>
      </c>
      <c r="O83" t="s">
        <v>21</v>
      </c>
    </row>
    <row r="84" spans="1:15" x14ac:dyDescent="0.35">
      <c r="A84" t="s">
        <v>109</v>
      </c>
      <c r="B84" t="s">
        <v>16</v>
      </c>
      <c r="C84" t="s">
        <v>17</v>
      </c>
      <c r="D84">
        <v>2</v>
      </c>
      <c r="E84" t="s">
        <v>26</v>
      </c>
      <c r="F84" t="s">
        <v>19</v>
      </c>
      <c r="G84">
        <v>4136</v>
      </c>
      <c r="H84">
        <v>0</v>
      </c>
      <c r="I84">
        <v>149</v>
      </c>
      <c r="J84">
        <v>480</v>
      </c>
      <c r="K84">
        <v>0</v>
      </c>
      <c r="L84" t="s">
        <v>32</v>
      </c>
      <c r="M84">
        <v>4136</v>
      </c>
      <c r="N84">
        <v>3.6025145067698258E-2</v>
      </c>
      <c r="O84" t="s">
        <v>33</v>
      </c>
    </row>
    <row r="85" spans="1:15" x14ac:dyDescent="0.35">
      <c r="A85" t="s">
        <v>110</v>
      </c>
      <c r="B85" t="s">
        <v>16</v>
      </c>
      <c r="C85" t="s">
        <v>17</v>
      </c>
      <c r="D85">
        <v>0</v>
      </c>
      <c r="E85" t="s">
        <v>18</v>
      </c>
      <c r="F85" t="s">
        <v>19</v>
      </c>
      <c r="G85">
        <v>8449</v>
      </c>
      <c r="H85">
        <v>0</v>
      </c>
      <c r="I85">
        <v>257</v>
      </c>
      <c r="J85">
        <v>360</v>
      </c>
      <c r="K85">
        <v>1</v>
      </c>
      <c r="L85" t="s">
        <v>32</v>
      </c>
      <c r="M85">
        <v>8449</v>
      </c>
      <c r="N85">
        <v>3.0417800923186179E-2</v>
      </c>
      <c r="O85" t="s">
        <v>21</v>
      </c>
    </row>
    <row r="86" spans="1:15" x14ac:dyDescent="0.35">
      <c r="A86" t="s">
        <v>111</v>
      </c>
      <c r="B86" t="s">
        <v>16</v>
      </c>
      <c r="C86" t="s">
        <v>17</v>
      </c>
      <c r="D86">
        <v>0</v>
      </c>
      <c r="E86" t="s">
        <v>18</v>
      </c>
      <c r="F86" t="s">
        <v>19</v>
      </c>
      <c r="G86">
        <v>4456</v>
      </c>
      <c r="H86">
        <v>0</v>
      </c>
      <c r="I86">
        <v>131</v>
      </c>
      <c r="J86">
        <v>180</v>
      </c>
      <c r="K86">
        <v>0</v>
      </c>
      <c r="L86" t="s">
        <v>30</v>
      </c>
      <c r="M86">
        <v>4456</v>
      </c>
      <c r="N86">
        <v>2.9398563734290839E-2</v>
      </c>
      <c r="O86" t="s">
        <v>33</v>
      </c>
    </row>
    <row r="87" spans="1:15" x14ac:dyDescent="0.35">
      <c r="A87" t="s">
        <v>112</v>
      </c>
      <c r="B87" t="s">
        <v>16</v>
      </c>
      <c r="C87" t="s">
        <v>17</v>
      </c>
      <c r="D87">
        <v>2</v>
      </c>
      <c r="E87" t="s">
        <v>18</v>
      </c>
      <c r="F87" t="s">
        <v>19</v>
      </c>
      <c r="G87">
        <v>4635</v>
      </c>
      <c r="H87">
        <v>8000</v>
      </c>
      <c r="I87">
        <v>102</v>
      </c>
      <c r="J87">
        <v>180</v>
      </c>
      <c r="K87">
        <v>1</v>
      </c>
      <c r="L87" t="s">
        <v>32</v>
      </c>
      <c r="M87">
        <v>12635</v>
      </c>
      <c r="N87">
        <v>8.0728136129798178E-3</v>
      </c>
      <c r="O87" t="s">
        <v>21</v>
      </c>
    </row>
    <row r="88" spans="1:15" x14ac:dyDescent="0.35">
      <c r="A88" t="s">
        <v>113</v>
      </c>
      <c r="B88" t="s">
        <v>16</v>
      </c>
      <c r="C88" t="s">
        <v>17</v>
      </c>
      <c r="D88">
        <v>0</v>
      </c>
      <c r="E88" t="s">
        <v>18</v>
      </c>
      <c r="F88" t="s">
        <v>19</v>
      </c>
      <c r="G88">
        <v>3571</v>
      </c>
      <c r="H88">
        <v>1917</v>
      </c>
      <c r="I88">
        <v>135</v>
      </c>
      <c r="J88">
        <v>360</v>
      </c>
      <c r="K88">
        <v>1</v>
      </c>
      <c r="L88" t="s">
        <v>20</v>
      </c>
      <c r="M88">
        <v>5488</v>
      </c>
      <c r="N88">
        <v>2.4599125364431491E-2</v>
      </c>
      <c r="O88" t="s">
        <v>21</v>
      </c>
    </row>
    <row r="89" spans="1:15" x14ac:dyDescent="0.35">
      <c r="A89" t="s">
        <v>114</v>
      </c>
      <c r="B89" t="s">
        <v>16</v>
      </c>
      <c r="C89" t="s">
        <v>19</v>
      </c>
      <c r="D89">
        <v>0</v>
      </c>
      <c r="E89" t="s">
        <v>18</v>
      </c>
      <c r="F89" t="s">
        <v>19</v>
      </c>
      <c r="G89">
        <v>3066</v>
      </c>
      <c r="H89">
        <v>0</v>
      </c>
      <c r="I89">
        <v>95</v>
      </c>
      <c r="J89">
        <v>360</v>
      </c>
      <c r="K89">
        <v>1</v>
      </c>
      <c r="L89" t="s">
        <v>30</v>
      </c>
      <c r="M89">
        <v>3066</v>
      </c>
      <c r="N89">
        <v>3.0984996738421391E-2</v>
      </c>
      <c r="O89" t="s">
        <v>21</v>
      </c>
    </row>
    <row r="90" spans="1:15" x14ac:dyDescent="0.35">
      <c r="A90" t="s">
        <v>115</v>
      </c>
      <c r="B90" t="s">
        <v>16</v>
      </c>
      <c r="C90" t="s">
        <v>19</v>
      </c>
      <c r="D90">
        <v>2</v>
      </c>
      <c r="E90" t="s">
        <v>26</v>
      </c>
      <c r="F90" t="s">
        <v>19</v>
      </c>
      <c r="G90">
        <v>3235</v>
      </c>
      <c r="H90">
        <v>2015</v>
      </c>
      <c r="I90">
        <v>77</v>
      </c>
      <c r="J90">
        <v>360</v>
      </c>
      <c r="K90">
        <v>1</v>
      </c>
      <c r="L90" t="s">
        <v>30</v>
      </c>
      <c r="M90">
        <v>5250</v>
      </c>
      <c r="N90">
        <v>1.466666666666667E-2</v>
      </c>
      <c r="O90" t="s">
        <v>21</v>
      </c>
    </row>
    <row r="91" spans="1:15" x14ac:dyDescent="0.35">
      <c r="A91" t="s">
        <v>116</v>
      </c>
      <c r="B91" t="s">
        <v>29</v>
      </c>
      <c r="C91" t="s">
        <v>19</v>
      </c>
      <c r="D91">
        <v>0</v>
      </c>
      <c r="E91" t="s">
        <v>18</v>
      </c>
      <c r="F91" t="s">
        <v>19</v>
      </c>
      <c r="G91">
        <v>5058</v>
      </c>
      <c r="H91">
        <v>0</v>
      </c>
      <c r="I91">
        <v>200</v>
      </c>
      <c r="J91">
        <v>360</v>
      </c>
      <c r="K91">
        <v>1</v>
      </c>
      <c r="L91" t="s">
        <v>32</v>
      </c>
      <c r="M91">
        <v>5058</v>
      </c>
      <c r="N91">
        <v>3.9541320680110723E-2</v>
      </c>
      <c r="O91" t="s">
        <v>21</v>
      </c>
    </row>
    <row r="92" spans="1:15" x14ac:dyDescent="0.35">
      <c r="A92" t="s">
        <v>117</v>
      </c>
      <c r="B92" t="s">
        <v>16</v>
      </c>
      <c r="C92" t="s">
        <v>17</v>
      </c>
      <c r="D92">
        <v>0</v>
      </c>
      <c r="E92" t="s">
        <v>18</v>
      </c>
      <c r="F92" t="s">
        <v>17</v>
      </c>
      <c r="G92">
        <v>3188</v>
      </c>
      <c r="H92">
        <v>2286</v>
      </c>
      <c r="I92">
        <v>130</v>
      </c>
      <c r="J92">
        <v>360</v>
      </c>
      <c r="K92">
        <v>1</v>
      </c>
      <c r="L92" t="s">
        <v>32</v>
      </c>
      <c r="M92">
        <v>5474</v>
      </c>
      <c r="N92">
        <v>2.3748629886737298E-2</v>
      </c>
      <c r="O92" t="s">
        <v>21</v>
      </c>
    </row>
    <row r="93" spans="1:15" x14ac:dyDescent="0.35">
      <c r="A93" t="s">
        <v>118</v>
      </c>
      <c r="B93" t="s">
        <v>16</v>
      </c>
      <c r="C93" t="s">
        <v>17</v>
      </c>
      <c r="D93" t="s">
        <v>39</v>
      </c>
      <c r="E93" t="s">
        <v>18</v>
      </c>
      <c r="F93" t="s">
        <v>19</v>
      </c>
      <c r="G93">
        <v>13518</v>
      </c>
      <c r="H93">
        <v>0</v>
      </c>
      <c r="I93">
        <v>390</v>
      </c>
      <c r="J93">
        <v>360</v>
      </c>
      <c r="K93">
        <v>1</v>
      </c>
      <c r="L93" t="s">
        <v>32</v>
      </c>
      <c r="M93">
        <v>13518</v>
      </c>
      <c r="N93">
        <v>2.8850421660008879E-2</v>
      </c>
      <c r="O93" t="s">
        <v>21</v>
      </c>
    </row>
    <row r="94" spans="1:15" x14ac:dyDescent="0.35">
      <c r="A94" t="s">
        <v>119</v>
      </c>
      <c r="B94" t="s">
        <v>16</v>
      </c>
      <c r="C94" t="s">
        <v>17</v>
      </c>
      <c r="D94">
        <v>1</v>
      </c>
      <c r="E94" t="s">
        <v>18</v>
      </c>
      <c r="F94" t="s">
        <v>19</v>
      </c>
      <c r="G94">
        <v>4364</v>
      </c>
      <c r="H94">
        <v>2500</v>
      </c>
      <c r="I94">
        <v>185</v>
      </c>
      <c r="J94">
        <v>360</v>
      </c>
      <c r="K94">
        <v>1</v>
      </c>
      <c r="L94" t="s">
        <v>30</v>
      </c>
      <c r="M94">
        <v>6864</v>
      </c>
      <c r="N94">
        <v>2.6952214452214449E-2</v>
      </c>
      <c r="O94" t="s">
        <v>21</v>
      </c>
    </row>
    <row r="95" spans="1:15" x14ac:dyDescent="0.35">
      <c r="A95" t="s">
        <v>120</v>
      </c>
      <c r="B95" t="s">
        <v>16</v>
      </c>
      <c r="C95" t="s">
        <v>17</v>
      </c>
      <c r="D95">
        <v>2</v>
      </c>
      <c r="E95" t="s">
        <v>26</v>
      </c>
      <c r="F95" t="s">
        <v>19</v>
      </c>
      <c r="G95">
        <v>4766</v>
      </c>
      <c r="H95">
        <v>1646</v>
      </c>
      <c r="I95">
        <v>100</v>
      </c>
      <c r="J95">
        <v>360</v>
      </c>
      <c r="K95">
        <v>1</v>
      </c>
      <c r="L95" t="s">
        <v>30</v>
      </c>
      <c r="M95">
        <v>6412</v>
      </c>
      <c r="N95">
        <v>1.559575795383656E-2</v>
      </c>
      <c r="O95" t="s">
        <v>21</v>
      </c>
    </row>
    <row r="96" spans="1:15" x14ac:dyDescent="0.35">
      <c r="A96" t="s">
        <v>121</v>
      </c>
      <c r="B96" t="s">
        <v>16</v>
      </c>
      <c r="C96" t="s">
        <v>17</v>
      </c>
      <c r="D96">
        <v>1</v>
      </c>
      <c r="E96" t="s">
        <v>18</v>
      </c>
      <c r="F96" t="s">
        <v>19</v>
      </c>
      <c r="G96">
        <v>4609</v>
      </c>
      <c r="H96">
        <v>2333</v>
      </c>
      <c r="I96">
        <v>123</v>
      </c>
      <c r="J96">
        <v>360</v>
      </c>
      <c r="K96">
        <v>0</v>
      </c>
      <c r="L96" t="s">
        <v>30</v>
      </c>
      <c r="M96">
        <v>6942</v>
      </c>
      <c r="N96">
        <v>1.7718236819360411E-2</v>
      </c>
      <c r="O96" t="s">
        <v>33</v>
      </c>
    </row>
    <row r="97" spans="1:15" x14ac:dyDescent="0.35">
      <c r="A97" t="s">
        <v>122</v>
      </c>
      <c r="B97" t="s">
        <v>29</v>
      </c>
      <c r="C97" t="s">
        <v>17</v>
      </c>
      <c r="D97" t="s">
        <v>39</v>
      </c>
      <c r="E97" t="s">
        <v>18</v>
      </c>
      <c r="F97" t="s">
        <v>19</v>
      </c>
      <c r="G97">
        <v>6260</v>
      </c>
      <c r="H97">
        <v>0</v>
      </c>
      <c r="I97">
        <v>110</v>
      </c>
      <c r="J97">
        <v>360</v>
      </c>
      <c r="K97">
        <v>1</v>
      </c>
      <c r="L97" t="s">
        <v>30</v>
      </c>
      <c r="M97">
        <v>6260</v>
      </c>
      <c r="N97">
        <v>1.7571884984025558E-2</v>
      </c>
      <c r="O97" t="s">
        <v>21</v>
      </c>
    </row>
    <row r="98" spans="1:15" x14ac:dyDescent="0.35">
      <c r="A98" t="s">
        <v>123</v>
      </c>
      <c r="B98" t="s">
        <v>16</v>
      </c>
      <c r="C98" t="s">
        <v>17</v>
      </c>
      <c r="D98">
        <v>1</v>
      </c>
      <c r="E98" t="s">
        <v>18</v>
      </c>
      <c r="F98" t="s">
        <v>19</v>
      </c>
      <c r="G98">
        <v>3333</v>
      </c>
      <c r="H98">
        <v>4200</v>
      </c>
      <c r="I98">
        <v>256</v>
      </c>
      <c r="J98">
        <v>360</v>
      </c>
      <c r="K98">
        <v>1</v>
      </c>
      <c r="L98" t="s">
        <v>20</v>
      </c>
      <c r="M98">
        <v>7533</v>
      </c>
      <c r="N98">
        <v>3.3983804593123591E-2</v>
      </c>
      <c r="O98" t="s">
        <v>21</v>
      </c>
    </row>
    <row r="99" spans="1:15" x14ac:dyDescent="0.35">
      <c r="A99" t="s">
        <v>124</v>
      </c>
      <c r="B99" t="s">
        <v>16</v>
      </c>
      <c r="C99" t="s">
        <v>17</v>
      </c>
      <c r="D99">
        <v>0</v>
      </c>
      <c r="E99" t="s">
        <v>18</v>
      </c>
      <c r="F99" t="s">
        <v>19</v>
      </c>
      <c r="G99">
        <v>3500</v>
      </c>
      <c r="H99">
        <v>3250</v>
      </c>
      <c r="I99">
        <v>140</v>
      </c>
      <c r="J99">
        <v>360</v>
      </c>
      <c r="K99">
        <v>1</v>
      </c>
      <c r="L99" t="s">
        <v>30</v>
      </c>
      <c r="M99">
        <v>6750</v>
      </c>
      <c r="N99">
        <v>2.074074074074074E-2</v>
      </c>
      <c r="O99" t="s">
        <v>21</v>
      </c>
    </row>
    <row r="100" spans="1:15" x14ac:dyDescent="0.35">
      <c r="A100" t="s">
        <v>125</v>
      </c>
      <c r="B100" t="s">
        <v>16</v>
      </c>
      <c r="C100" t="s">
        <v>17</v>
      </c>
      <c r="D100" t="s">
        <v>39</v>
      </c>
      <c r="E100" t="s">
        <v>18</v>
      </c>
      <c r="F100" t="s">
        <v>19</v>
      </c>
      <c r="G100">
        <v>9719</v>
      </c>
      <c r="H100">
        <v>0</v>
      </c>
      <c r="I100">
        <v>61</v>
      </c>
      <c r="J100">
        <v>360</v>
      </c>
      <c r="K100">
        <v>1</v>
      </c>
      <c r="L100" t="s">
        <v>20</v>
      </c>
      <c r="M100">
        <v>9719</v>
      </c>
      <c r="N100">
        <v>6.2763658812635048E-3</v>
      </c>
      <c r="O100" t="s">
        <v>21</v>
      </c>
    </row>
    <row r="101" spans="1:15" x14ac:dyDescent="0.35">
      <c r="A101" t="s">
        <v>126</v>
      </c>
      <c r="B101" t="s">
        <v>16</v>
      </c>
      <c r="C101" t="s">
        <v>17</v>
      </c>
      <c r="D101" t="s">
        <v>39</v>
      </c>
      <c r="E101" t="s">
        <v>18</v>
      </c>
      <c r="F101" t="s">
        <v>19</v>
      </c>
      <c r="G101">
        <v>6835</v>
      </c>
      <c r="H101">
        <v>0</v>
      </c>
      <c r="I101">
        <v>188</v>
      </c>
      <c r="J101">
        <v>360</v>
      </c>
      <c r="K101">
        <v>1</v>
      </c>
      <c r="L101" t="s">
        <v>30</v>
      </c>
      <c r="M101">
        <v>6835</v>
      </c>
      <c r="N101">
        <v>2.750548646671544E-2</v>
      </c>
      <c r="O101" t="s">
        <v>21</v>
      </c>
    </row>
    <row r="102" spans="1:15" x14ac:dyDescent="0.35">
      <c r="A102" t="s">
        <v>127</v>
      </c>
      <c r="B102" t="s">
        <v>16</v>
      </c>
      <c r="C102" t="s">
        <v>19</v>
      </c>
      <c r="D102">
        <v>0</v>
      </c>
      <c r="E102" t="s">
        <v>18</v>
      </c>
      <c r="F102" t="s">
        <v>19</v>
      </c>
      <c r="G102">
        <v>4452</v>
      </c>
      <c r="H102">
        <v>0</v>
      </c>
      <c r="I102">
        <v>131</v>
      </c>
      <c r="J102">
        <v>360</v>
      </c>
      <c r="K102">
        <v>1</v>
      </c>
      <c r="L102" t="s">
        <v>32</v>
      </c>
      <c r="M102">
        <v>4452</v>
      </c>
      <c r="N102">
        <v>2.9424977538185081E-2</v>
      </c>
      <c r="O102" t="s">
        <v>21</v>
      </c>
    </row>
    <row r="103" spans="1:15" x14ac:dyDescent="0.35">
      <c r="A103" t="s">
        <v>128</v>
      </c>
      <c r="B103" t="s">
        <v>29</v>
      </c>
      <c r="C103" t="s">
        <v>17</v>
      </c>
      <c r="D103">
        <v>0</v>
      </c>
      <c r="E103" t="s">
        <v>18</v>
      </c>
      <c r="F103" t="s">
        <v>19</v>
      </c>
      <c r="G103">
        <v>2262</v>
      </c>
      <c r="H103">
        <v>0</v>
      </c>
      <c r="I103">
        <v>125</v>
      </c>
      <c r="J103">
        <v>480</v>
      </c>
      <c r="K103">
        <v>0</v>
      </c>
      <c r="L103" t="s">
        <v>30</v>
      </c>
      <c r="M103">
        <v>2262</v>
      </c>
      <c r="N103">
        <v>5.5260831122900089E-2</v>
      </c>
      <c r="O103" t="s">
        <v>33</v>
      </c>
    </row>
    <row r="104" spans="1:15" x14ac:dyDescent="0.35">
      <c r="A104" t="s">
        <v>129</v>
      </c>
      <c r="B104" t="s">
        <v>16</v>
      </c>
      <c r="C104" t="s">
        <v>17</v>
      </c>
      <c r="D104">
        <v>1</v>
      </c>
      <c r="E104" t="s">
        <v>18</v>
      </c>
      <c r="F104" t="s">
        <v>19</v>
      </c>
      <c r="G104">
        <v>3901</v>
      </c>
      <c r="H104">
        <v>0</v>
      </c>
      <c r="I104">
        <v>116</v>
      </c>
      <c r="J104">
        <v>360</v>
      </c>
      <c r="K104">
        <v>1</v>
      </c>
      <c r="L104" t="s">
        <v>20</v>
      </c>
      <c r="M104">
        <v>3901</v>
      </c>
      <c r="N104">
        <v>2.973596513714432E-2</v>
      </c>
      <c r="O104" t="s">
        <v>21</v>
      </c>
    </row>
    <row r="105" spans="1:15" x14ac:dyDescent="0.35">
      <c r="A105" t="s">
        <v>130</v>
      </c>
      <c r="B105" t="s">
        <v>16</v>
      </c>
      <c r="C105" t="s">
        <v>17</v>
      </c>
      <c r="D105">
        <v>2</v>
      </c>
      <c r="E105" t="s">
        <v>26</v>
      </c>
      <c r="F105" t="s">
        <v>19</v>
      </c>
      <c r="G105">
        <v>2687</v>
      </c>
      <c r="H105">
        <v>0</v>
      </c>
      <c r="I105">
        <v>50</v>
      </c>
      <c r="J105">
        <v>180</v>
      </c>
      <c r="K105">
        <v>1</v>
      </c>
      <c r="L105" t="s">
        <v>32</v>
      </c>
      <c r="M105">
        <v>2687</v>
      </c>
      <c r="N105">
        <v>1.860811313732787E-2</v>
      </c>
      <c r="O105" t="s">
        <v>21</v>
      </c>
    </row>
    <row r="106" spans="1:15" x14ac:dyDescent="0.35">
      <c r="A106" t="s">
        <v>131</v>
      </c>
      <c r="B106" t="s">
        <v>16</v>
      </c>
      <c r="C106" t="s">
        <v>19</v>
      </c>
      <c r="D106">
        <v>0</v>
      </c>
      <c r="E106" t="s">
        <v>18</v>
      </c>
      <c r="F106" t="s">
        <v>19</v>
      </c>
      <c r="G106">
        <v>2243</v>
      </c>
      <c r="H106">
        <v>2233</v>
      </c>
      <c r="I106">
        <v>107</v>
      </c>
      <c r="J106">
        <v>360</v>
      </c>
      <c r="K106">
        <v>1</v>
      </c>
      <c r="L106" t="s">
        <v>30</v>
      </c>
      <c r="M106">
        <v>4476</v>
      </c>
      <c r="N106">
        <v>2.3905272564789991E-2</v>
      </c>
      <c r="O106" t="s">
        <v>21</v>
      </c>
    </row>
    <row r="107" spans="1:15" x14ac:dyDescent="0.35">
      <c r="A107" t="s">
        <v>132</v>
      </c>
      <c r="B107" t="s">
        <v>29</v>
      </c>
      <c r="C107" t="s">
        <v>17</v>
      </c>
      <c r="D107">
        <v>0</v>
      </c>
      <c r="E107" t="s">
        <v>18</v>
      </c>
      <c r="F107" t="s">
        <v>19</v>
      </c>
      <c r="G107">
        <v>3417</v>
      </c>
      <c r="H107">
        <v>1287</v>
      </c>
      <c r="I107">
        <v>200</v>
      </c>
      <c r="J107">
        <v>360</v>
      </c>
      <c r="K107">
        <v>1</v>
      </c>
      <c r="L107" t="s">
        <v>30</v>
      </c>
      <c r="M107">
        <v>4704</v>
      </c>
      <c r="N107">
        <v>4.2517006802721087E-2</v>
      </c>
      <c r="O107" t="s">
        <v>21</v>
      </c>
    </row>
    <row r="108" spans="1:15" x14ac:dyDescent="0.35">
      <c r="A108" t="s">
        <v>133</v>
      </c>
      <c r="B108" t="s">
        <v>16</v>
      </c>
      <c r="C108" t="s">
        <v>19</v>
      </c>
      <c r="D108">
        <v>0</v>
      </c>
      <c r="E108" t="s">
        <v>18</v>
      </c>
      <c r="F108" t="s">
        <v>19</v>
      </c>
      <c r="G108">
        <v>1596</v>
      </c>
      <c r="H108">
        <v>1760</v>
      </c>
      <c r="I108">
        <v>119</v>
      </c>
      <c r="J108">
        <v>360</v>
      </c>
      <c r="K108">
        <v>0</v>
      </c>
      <c r="L108" t="s">
        <v>20</v>
      </c>
      <c r="M108">
        <v>3356</v>
      </c>
      <c r="N108">
        <v>3.5458879618593557E-2</v>
      </c>
      <c r="O108" t="s">
        <v>33</v>
      </c>
    </row>
    <row r="109" spans="1:15" x14ac:dyDescent="0.35">
      <c r="A109" t="s">
        <v>134</v>
      </c>
      <c r="B109" t="s">
        <v>16</v>
      </c>
      <c r="C109" t="s">
        <v>17</v>
      </c>
      <c r="D109" t="s">
        <v>39</v>
      </c>
      <c r="E109" t="s">
        <v>18</v>
      </c>
      <c r="F109" t="s">
        <v>19</v>
      </c>
      <c r="G109">
        <v>4513</v>
      </c>
      <c r="H109">
        <v>0</v>
      </c>
      <c r="I109">
        <v>120</v>
      </c>
      <c r="J109">
        <v>360</v>
      </c>
      <c r="K109">
        <v>1</v>
      </c>
      <c r="L109" t="s">
        <v>32</v>
      </c>
      <c r="M109">
        <v>4513</v>
      </c>
      <c r="N109">
        <v>2.658985153999557E-2</v>
      </c>
      <c r="O109" t="s">
        <v>21</v>
      </c>
    </row>
    <row r="110" spans="1:15" x14ac:dyDescent="0.35">
      <c r="A110" t="s">
        <v>135</v>
      </c>
      <c r="B110" t="s">
        <v>16</v>
      </c>
      <c r="C110" t="s">
        <v>17</v>
      </c>
      <c r="D110">
        <v>0</v>
      </c>
      <c r="E110" t="s">
        <v>18</v>
      </c>
      <c r="F110" t="s">
        <v>19</v>
      </c>
      <c r="G110">
        <v>4500</v>
      </c>
      <c r="H110">
        <v>0</v>
      </c>
      <c r="I110">
        <v>140</v>
      </c>
      <c r="J110">
        <v>360</v>
      </c>
      <c r="K110">
        <v>1</v>
      </c>
      <c r="L110" t="s">
        <v>30</v>
      </c>
      <c r="M110">
        <v>4500</v>
      </c>
      <c r="N110">
        <v>3.111111111111111E-2</v>
      </c>
      <c r="O110" t="s">
        <v>21</v>
      </c>
    </row>
    <row r="111" spans="1:15" x14ac:dyDescent="0.35">
      <c r="A111" t="s">
        <v>136</v>
      </c>
      <c r="B111" t="s">
        <v>16</v>
      </c>
      <c r="C111" t="s">
        <v>17</v>
      </c>
      <c r="D111">
        <v>0</v>
      </c>
      <c r="E111" t="s">
        <v>26</v>
      </c>
      <c r="F111" t="s">
        <v>19</v>
      </c>
      <c r="G111">
        <v>4523</v>
      </c>
      <c r="H111">
        <v>1350</v>
      </c>
      <c r="I111">
        <v>165</v>
      </c>
      <c r="J111">
        <v>360</v>
      </c>
      <c r="K111">
        <v>1</v>
      </c>
      <c r="L111" t="s">
        <v>20</v>
      </c>
      <c r="M111">
        <v>5873</v>
      </c>
      <c r="N111">
        <v>2.809467052613656E-2</v>
      </c>
      <c r="O111" t="s">
        <v>21</v>
      </c>
    </row>
    <row r="112" spans="1:15" x14ac:dyDescent="0.35">
      <c r="A112" t="s">
        <v>137</v>
      </c>
      <c r="B112" t="s">
        <v>29</v>
      </c>
      <c r="C112" t="s">
        <v>19</v>
      </c>
      <c r="D112">
        <v>0</v>
      </c>
      <c r="E112" t="s">
        <v>18</v>
      </c>
      <c r="F112" t="s">
        <v>17</v>
      </c>
      <c r="G112">
        <v>4742</v>
      </c>
      <c r="H112">
        <v>0</v>
      </c>
      <c r="I112">
        <v>108</v>
      </c>
      <c r="J112">
        <v>360</v>
      </c>
      <c r="K112">
        <v>1</v>
      </c>
      <c r="L112" t="s">
        <v>30</v>
      </c>
      <c r="M112">
        <v>4742</v>
      </c>
      <c r="N112">
        <v>2.277520033741038E-2</v>
      </c>
      <c r="O112" t="s">
        <v>21</v>
      </c>
    </row>
    <row r="113" spans="1:15" x14ac:dyDescent="0.35">
      <c r="A113" t="s">
        <v>138</v>
      </c>
      <c r="B113" t="s">
        <v>16</v>
      </c>
      <c r="C113" t="s">
        <v>17</v>
      </c>
      <c r="D113">
        <v>0</v>
      </c>
      <c r="E113" t="s">
        <v>18</v>
      </c>
      <c r="F113" t="s">
        <v>19</v>
      </c>
      <c r="G113">
        <v>4082</v>
      </c>
      <c r="H113">
        <v>0</v>
      </c>
      <c r="I113">
        <v>93</v>
      </c>
      <c r="J113">
        <v>360</v>
      </c>
      <c r="K113">
        <v>1</v>
      </c>
      <c r="L113" t="s">
        <v>30</v>
      </c>
      <c r="M113">
        <v>4082</v>
      </c>
      <c r="N113">
        <v>2.278294953454189E-2</v>
      </c>
      <c r="O113" t="s">
        <v>21</v>
      </c>
    </row>
    <row r="114" spans="1:15" x14ac:dyDescent="0.35">
      <c r="A114" t="s">
        <v>139</v>
      </c>
      <c r="B114" t="s">
        <v>29</v>
      </c>
      <c r="C114" t="s">
        <v>19</v>
      </c>
      <c r="D114">
        <v>0</v>
      </c>
      <c r="E114" t="s">
        <v>18</v>
      </c>
      <c r="F114" t="s">
        <v>19</v>
      </c>
      <c r="G114">
        <v>3417</v>
      </c>
      <c r="H114">
        <v>0</v>
      </c>
      <c r="I114">
        <v>102</v>
      </c>
      <c r="J114">
        <v>360</v>
      </c>
      <c r="K114">
        <v>1</v>
      </c>
      <c r="L114" t="s">
        <v>20</v>
      </c>
      <c r="M114">
        <v>3417</v>
      </c>
      <c r="N114">
        <v>2.9850746268656719E-2</v>
      </c>
      <c r="O114" t="s">
        <v>21</v>
      </c>
    </row>
    <row r="115" spans="1:15" x14ac:dyDescent="0.35">
      <c r="A115" t="s">
        <v>140</v>
      </c>
      <c r="B115" t="s">
        <v>29</v>
      </c>
      <c r="C115" t="s">
        <v>17</v>
      </c>
      <c r="D115">
        <v>2</v>
      </c>
      <c r="E115" t="s">
        <v>18</v>
      </c>
      <c r="F115" t="s">
        <v>19</v>
      </c>
      <c r="G115">
        <v>2922</v>
      </c>
      <c r="H115">
        <v>3396</v>
      </c>
      <c r="I115">
        <v>122</v>
      </c>
      <c r="J115">
        <v>360</v>
      </c>
      <c r="K115">
        <v>1</v>
      </c>
      <c r="L115" t="s">
        <v>30</v>
      </c>
      <c r="M115">
        <v>6318</v>
      </c>
      <c r="N115">
        <v>1.9309908198797091E-2</v>
      </c>
      <c r="O115" t="s">
        <v>21</v>
      </c>
    </row>
    <row r="116" spans="1:15" x14ac:dyDescent="0.35">
      <c r="A116" t="s">
        <v>141</v>
      </c>
      <c r="B116" t="s">
        <v>16</v>
      </c>
      <c r="C116" t="s">
        <v>17</v>
      </c>
      <c r="D116">
        <v>0</v>
      </c>
      <c r="E116" t="s">
        <v>18</v>
      </c>
      <c r="F116" t="s">
        <v>19</v>
      </c>
      <c r="G116">
        <v>4167</v>
      </c>
      <c r="H116">
        <v>4754</v>
      </c>
      <c r="I116">
        <v>160</v>
      </c>
      <c r="J116">
        <v>360</v>
      </c>
      <c r="K116">
        <v>1</v>
      </c>
      <c r="L116" t="s">
        <v>32</v>
      </c>
      <c r="M116">
        <v>8921</v>
      </c>
      <c r="N116">
        <v>1.793520905728057E-2</v>
      </c>
      <c r="O116" t="s">
        <v>21</v>
      </c>
    </row>
    <row r="117" spans="1:15" x14ac:dyDescent="0.35">
      <c r="A117" t="s">
        <v>142</v>
      </c>
      <c r="B117" t="s">
        <v>16</v>
      </c>
      <c r="C117" t="s">
        <v>19</v>
      </c>
      <c r="D117" t="s">
        <v>39</v>
      </c>
      <c r="E117" t="s">
        <v>18</v>
      </c>
      <c r="F117" t="s">
        <v>19</v>
      </c>
      <c r="G117">
        <v>4243</v>
      </c>
      <c r="H117">
        <v>4123</v>
      </c>
      <c r="I117">
        <v>157</v>
      </c>
      <c r="J117">
        <v>360</v>
      </c>
      <c r="K117">
        <v>1</v>
      </c>
      <c r="L117" t="s">
        <v>30</v>
      </c>
      <c r="M117">
        <v>8366</v>
      </c>
      <c r="N117">
        <v>1.8766435572555581E-2</v>
      </c>
      <c r="O117" t="s">
        <v>21</v>
      </c>
    </row>
    <row r="118" spans="1:15" x14ac:dyDescent="0.35">
      <c r="A118" t="s">
        <v>143</v>
      </c>
      <c r="B118" t="s">
        <v>29</v>
      </c>
      <c r="C118" t="s">
        <v>19</v>
      </c>
      <c r="D118">
        <v>0</v>
      </c>
      <c r="E118" t="s">
        <v>26</v>
      </c>
      <c r="F118" t="s">
        <v>19</v>
      </c>
      <c r="G118">
        <v>0</v>
      </c>
      <c r="H118">
        <v>1760</v>
      </c>
      <c r="I118">
        <v>180</v>
      </c>
      <c r="J118">
        <v>360</v>
      </c>
      <c r="K118">
        <v>1</v>
      </c>
      <c r="L118" t="s">
        <v>30</v>
      </c>
      <c r="M118">
        <v>1760</v>
      </c>
      <c r="N118">
        <v>0.10227272727272731</v>
      </c>
      <c r="O118" t="s">
        <v>21</v>
      </c>
    </row>
    <row r="119" spans="1:15" x14ac:dyDescent="0.35">
      <c r="A119" t="s">
        <v>144</v>
      </c>
      <c r="B119" t="s">
        <v>16</v>
      </c>
      <c r="C119" t="s">
        <v>17</v>
      </c>
      <c r="D119">
        <v>1</v>
      </c>
      <c r="E119" t="s">
        <v>18</v>
      </c>
      <c r="F119" t="s">
        <v>19</v>
      </c>
      <c r="G119">
        <v>1516</v>
      </c>
      <c r="H119">
        <v>2900</v>
      </c>
      <c r="I119">
        <v>80</v>
      </c>
      <c r="J119">
        <v>360</v>
      </c>
      <c r="K119">
        <v>0</v>
      </c>
      <c r="L119" t="s">
        <v>32</v>
      </c>
      <c r="M119">
        <v>4416</v>
      </c>
      <c r="N119">
        <v>1.8115942028985511E-2</v>
      </c>
      <c r="O119" t="s">
        <v>33</v>
      </c>
    </row>
    <row r="120" spans="1:15" x14ac:dyDescent="0.35">
      <c r="A120" t="s">
        <v>145</v>
      </c>
      <c r="B120" t="s">
        <v>29</v>
      </c>
      <c r="C120" t="s">
        <v>19</v>
      </c>
      <c r="D120">
        <v>0</v>
      </c>
      <c r="E120" t="s">
        <v>18</v>
      </c>
      <c r="F120" t="s">
        <v>19</v>
      </c>
      <c r="G120">
        <v>1762</v>
      </c>
      <c r="H120">
        <v>2666</v>
      </c>
      <c r="I120">
        <v>104</v>
      </c>
      <c r="J120">
        <v>360</v>
      </c>
      <c r="K120">
        <v>0</v>
      </c>
      <c r="L120" t="s">
        <v>20</v>
      </c>
      <c r="M120">
        <v>4428</v>
      </c>
      <c r="N120">
        <v>2.3486901535682021E-2</v>
      </c>
      <c r="O120" t="s">
        <v>33</v>
      </c>
    </row>
    <row r="121" spans="1:15" x14ac:dyDescent="0.35">
      <c r="A121" t="s">
        <v>146</v>
      </c>
      <c r="B121" t="s">
        <v>16</v>
      </c>
      <c r="C121" t="s">
        <v>17</v>
      </c>
      <c r="D121">
        <v>2</v>
      </c>
      <c r="E121" t="s">
        <v>18</v>
      </c>
      <c r="F121" t="s">
        <v>19</v>
      </c>
      <c r="G121">
        <v>724</v>
      </c>
      <c r="H121">
        <v>3510</v>
      </c>
      <c r="I121">
        <v>213</v>
      </c>
      <c r="J121">
        <v>360</v>
      </c>
      <c r="K121">
        <v>0</v>
      </c>
      <c r="L121" t="s">
        <v>32</v>
      </c>
      <c r="M121">
        <v>4234</v>
      </c>
      <c r="N121">
        <v>5.030703826169107E-2</v>
      </c>
      <c r="O121" t="s">
        <v>33</v>
      </c>
    </row>
    <row r="122" spans="1:15" x14ac:dyDescent="0.35">
      <c r="A122" t="s">
        <v>147</v>
      </c>
      <c r="B122" t="s">
        <v>16</v>
      </c>
      <c r="C122" t="s">
        <v>19</v>
      </c>
      <c r="D122">
        <v>0</v>
      </c>
      <c r="E122" t="s">
        <v>18</v>
      </c>
      <c r="F122" t="s">
        <v>19</v>
      </c>
      <c r="G122">
        <v>3125</v>
      </c>
      <c r="H122">
        <v>0</v>
      </c>
      <c r="I122">
        <v>65</v>
      </c>
      <c r="J122">
        <v>360</v>
      </c>
      <c r="K122">
        <v>1</v>
      </c>
      <c r="L122" t="s">
        <v>20</v>
      </c>
      <c r="M122">
        <v>3125</v>
      </c>
      <c r="N122">
        <v>2.0799999999999999E-2</v>
      </c>
      <c r="O122" t="s">
        <v>21</v>
      </c>
    </row>
    <row r="123" spans="1:15" x14ac:dyDescent="0.35">
      <c r="A123" t="s">
        <v>148</v>
      </c>
      <c r="B123" t="s">
        <v>16</v>
      </c>
      <c r="C123" t="s">
        <v>17</v>
      </c>
      <c r="D123">
        <v>0</v>
      </c>
      <c r="E123" t="s">
        <v>18</v>
      </c>
      <c r="F123" t="s">
        <v>19</v>
      </c>
      <c r="G123">
        <v>2333</v>
      </c>
      <c r="H123">
        <v>3803</v>
      </c>
      <c r="I123">
        <v>146</v>
      </c>
      <c r="J123">
        <v>360</v>
      </c>
      <c r="K123">
        <v>1</v>
      </c>
      <c r="L123" t="s">
        <v>32</v>
      </c>
      <c r="M123">
        <v>6136</v>
      </c>
      <c r="N123">
        <v>2.3794002607561929E-2</v>
      </c>
      <c r="O123" t="s">
        <v>21</v>
      </c>
    </row>
    <row r="124" spans="1:15" x14ac:dyDescent="0.35">
      <c r="A124" t="s">
        <v>149</v>
      </c>
      <c r="B124" t="s">
        <v>16</v>
      </c>
      <c r="C124" t="s">
        <v>17</v>
      </c>
      <c r="D124" t="s">
        <v>39</v>
      </c>
      <c r="E124" t="s">
        <v>18</v>
      </c>
      <c r="F124" t="s">
        <v>19</v>
      </c>
      <c r="G124">
        <v>3350</v>
      </c>
      <c r="H124">
        <v>1560</v>
      </c>
      <c r="I124">
        <v>135</v>
      </c>
      <c r="J124">
        <v>360</v>
      </c>
      <c r="K124">
        <v>1</v>
      </c>
      <c r="L124" t="s">
        <v>20</v>
      </c>
      <c r="M124">
        <v>4910</v>
      </c>
      <c r="N124">
        <v>2.7494908350305498E-2</v>
      </c>
      <c r="O124" t="s">
        <v>21</v>
      </c>
    </row>
    <row r="125" spans="1:15" x14ac:dyDescent="0.35">
      <c r="A125" t="s">
        <v>150</v>
      </c>
      <c r="B125" t="s">
        <v>16</v>
      </c>
      <c r="C125" t="s">
        <v>19</v>
      </c>
      <c r="D125">
        <v>0</v>
      </c>
      <c r="E125" t="s">
        <v>18</v>
      </c>
      <c r="F125" t="s">
        <v>19</v>
      </c>
      <c r="G125">
        <v>2500</v>
      </c>
      <c r="H125">
        <v>6414</v>
      </c>
      <c r="I125">
        <v>187</v>
      </c>
      <c r="J125">
        <v>360</v>
      </c>
      <c r="K125">
        <v>0</v>
      </c>
      <c r="L125" t="s">
        <v>32</v>
      </c>
      <c r="M125">
        <v>8914</v>
      </c>
      <c r="N125">
        <v>2.0978236481938521E-2</v>
      </c>
      <c r="O125" t="s">
        <v>33</v>
      </c>
    </row>
    <row r="126" spans="1:15" x14ac:dyDescent="0.35">
      <c r="A126" t="s">
        <v>151</v>
      </c>
      <c r="B126" t="s">
        <v>29</v>
      </c>
      <c r="C126" t="s">
        <v>19</v>
      </c>
      <c r="D126">
        <v>0</v>
      </c>
      <c r="E126" t="s">
        <v>18</v>
      </c>
      <c r="F126" t="s">
        <v>19</v>
      </c>
      <c r="G126">
        <v>12500</v>
      </c>
      <c r="H126">
        <v>0</v>
      </c>
      <c r="I126">
        <v>300</v>
      </c>
      <c r="J126">
        <v>360</v>
      </c>
      <c r="K126">
        <v>0</v>
      </c>
      <c r="L126" t="s">
        <v>20</v>
      </c>
      <c r="M126">
        <v>12500</v>
      </c>
      <c r="N126">
        <v>2.4E-2</v>
      </c>
      <c r="O126" t="s">
        <v>33</v>
      </c>
    </row>
    <row r="127" spans="1:15" x14ac:dyDescent="0.35">
      <c r="A127" t="s">
        <v>152</v>
      </c>
      <c r="B127" t="s">
        <v>16</v>
      </c>
      <c r="C127" t="s">
        <v>19</v>
      </c>
      <c r="D127">
        <v>0</v>
      </c>
      <c r="E127" t="s">
        <v>18</v>
      </c>
      <c r="F127" t="s">
        <v>19</v>
      </c>
      <c r="G127">
        <v>4667</v>
      </c>
      <c r="H127">
        <v>0</v>
      </c>
      <c r="I127">
        <v>120</v>
      </c>
      <c r="J127">
        <v>360</v>
      </c>
      <c r="K127">
        <v>1</v>
      </c>
      <c r="L127" t="s">
        <v>30</v>
      </c>
      <c r="M127">
        <v>4667</v>
      </c>
      <c r="N127">
        <v>2.5712449110777798E-2</v>
      </c>
      <c r="O127" t="s">
        <v>21</v>
      </c>
    </row>
    <row r="128" spans="1:15" x14ac:dyDescent="0.35">
      <c r="A128" t="s">
        <v>153</v>
      </c>
      <c r="B128" t="s">
        <v>16</v>
      </c>
      <c r="C128" t="s">
        <v>19</v>
      </c>
      <c r="D128">
        <v>0</v>
      </c>
      <c r="E128" t="s">
        <v>18</v>
      </c>
      <c r="F128" t="s">
        <v>19</v>
      </c>
      <c r="G128">
        <v>6500</v>
      </c>
      <c r="H128">
        <v>0</v>
      </c>
      <c r="I128">
        <v>71</v>
      </c>
      <c r="J128">
        <v>360</v>
      </c>
      <c r="K128">
        <v>0</v>
      </c>
      <c r="L128" t="s">
        <v>20</v>
      </c>
      <c r="M128">
        <v>6500</v>
      </c>
      <c r="N128">
        <v>1.0923076923076921E-2</v>
      </c>
      <c r="O128" t="s">
        <v>33</v>
      </c>
    </row>
    <row r="129" spans="1:15" x14ac:dyDescent="0.35">
      <c r="A129" t="s">
        <v>154</v>
      </c>
      <c r="B129" t="s">
        <v>16</v>
      </c>
      <c r="C129" t="s">
        <v>17</v>
      </c>
      <c r="D129">
        <v>2</v>
      </c>
      <c r="E129" t="s">
        <v>18</v>
      </c>
      <c r="F129" t="s">
        <v>19</v>
      </c>
      <c r="G129">
        <v>7500</v>
      </c>
      <c r="H129">
        <v>0</v>
      </c>
      <c r="I129">
        <v>225</v>
      </c>
      <c r="J129">
        <v>360</v>
      </c>
      <c r="K129">
        <v>1</v>
      </c>
      <c r="L129" t="s">
        <v>20</v>
      </c>
      <c r="M129">
        <v>7500</v>
      </c>
      <c r="N129">
        <v>0.03</v>
      </c>
      <c r="O129" t="s">
        <v>21</v>
      </c>
    </row>
    <row r="130" spans="1:15" x14ac:dyDescent="0.35">
      <c r="A130" t="s">
        <v>155</v>
      </c>
      <c r="B130" t="s">
        <v>16</v>
      </c>
      <c r="C130" t="s">
        <v>19</v>
      </c>
      <c r="D130">
        <v>0</v>
      </c>
      <c r="E130" t="s">
        <v>18</v>
      </c>
      <c r="F130" t="s">
        <v>19</v>
      </c>
      <c r="G130">
        <v>3073</v>
      </c>
      <c r="H130">
        <v>0</v>
      </c>
      <c r="I130">
        <v>70</v>
      </c>
      <c r="J130">
        <v>180</v>
      </c>
      <c r="K130">
        <v>1</v>
      </c>
      <c r="L130" t="s">
        <v>20</v>
      </c>
      <c r="M130">
        <v>3073</v>
      </c>
      <c r="N130">
        <v>2.277904328018223E-2</v>
      </c>
      <c r="O130" t="s">
        <v>21</v>
      </c>
    </row>
    <row r="131" spans="1:15" x14ac:dyDescent="0.35">
      <c r="A131" t="s">
        <v>156</v>
      </c>
      <c r="B131" t="s">
        <v>16</v>
      </c>
      <c r="C131" t="s">
        <v>17</v>
      </c>
      <c r="D131">
        <v>1</v>
      </c>
      <c r="E131" t="s">
        <v>26</v>
      </c>
      <c r="F131" t="s">
        <v>19</v>
      </c>
      <c r="G131">
        <v>3321</v>
      </c>
      <c r="H131">
        <v>2088</v>
      </c>
      <c r="I131">
        <v>70</v>
      </c>
      <c r="J131">
        <v>360</v>
      </c>
      <c r="K131">
        <v>1</v>
      </c>
      <c r="L131" t="s">
        <v>30</v>
      </c>
      <c r="M131">
        <v>5409</v>
      </c>
      <c r="N131">
        <v>1.2941393973007949E-2</v>
      </c>
      <c r="O131" t="s">
        <v>21</v>
      </c>
    </row>
    <row r="132" spans="1:15" x14ac:dyDescent="0.35">
      <c r="A132" t="s">
        <v>157</v>
      </c>
      <c r="B132" t="s">
        <v>16</v>
      </c>
      <c r="C132" t="s">
        <v>17</v>
      </c>
      <c r="D132">
        <v>0</v>
      </c>
      <c r="E132" t="s">
        <v>18</v>
      </c>
      <c r="F132" t="s">
        <v>19</v>
      </c>
      <c r="G132">
        <v>3333</v>
      </c>
      <c r="H132">
        <v>1270</v>
      </c>
      <c r="I132">
        <v>124</v>
      </c>
      <c r="J132">
        <v>360</v>
      </c>
      <c r="K132">
        <v>1</v>
      </c>
      <c r="L132" t="s">
        <v>20</v>
      </c>
      <c r="M132">
        <v>4603</v>
      </c>
      <c r="N132">
        <v>2.6938952856832499E-2</v>
      </c>
      <c r="O132" t="s">
        <v>21</v>
      </c>
    </row>
    <row r="133" spans="1:15" x14ac:dyDescent="0.35">
      <c r="A133" t="s">
        <v>158</v>
      </c>
      <c r="B133" t="s">
        <v>16</v>
      </c>
      <c r="C133" t="s">
        <v>19</v>
      </c>
      <c r="D133">
        <v>0</v>
      </c>
      <c r="E133" t="s">
        <v>18</v>
      </c>
      <c r="F133" t="s">
        <v>19</v>
      </c>
      <c r="G133">
        <v>3391</v>
      </c>
      <c r="H133">
        <v>0</v>
      </c>
      <c r="I133">
        <v>132</v>
      </c>
      <c r="J133">
        <v>360</v>
      </c>
      <c r="K133">
        <v>1</v>
      </c>
      <c r="L133" t="s">
        <v>32</v>
      </c>
      <c r="M133">
        <v>3391</v>
      </c>
      <c r="N133">
        <v>3.892657033323503E-2</v>
      </c>
      <c r="O133" t="s">
        <v>21</v>
      </c>
    </row>
    <row r="134" spans="1:15" x14ac:dyDescent="0.35">
      <c r="A134" t="s">
        <v>159</v>
      </c>
      <c r="B134" t="s">
        <v>16</v>
      </c>
      <c r="C134" t="s">
        <v>17</v>
      </c>
      <c r="D134">
        <v>1</v>
      </c>
      <c r="E134" t="s">
        <v>18</v>
      </c>
      <c r="F134" t="s">
        <v>17</v>
      </c>
      <c r="G134">
        <v>3343</v>
      </c>
      <c r="H134">
        <v>1517</v>
      </c>
      <c r="I134">
        <v>105</v>
      </c>
      <c r="J134">
        <v>360</v>
      </c>
      <c r="K134">
        <v>1</v>
      </c>
      <c r="L134" t="s">
        <v>32</v>
      </c>
      <c r="M134">
        <v>4860</v>
      </c>
      <c r="N134">
        <v>2.1604938271604941E-2</v>
      </c>
      <c r="O134" t="s">
        <v>21</v>
      </c>
    </row>
    <row r="135" spans="1:15" x14ac:dyDescent="0.35">
      <c r="A135" t="s">
        <v>160</v>
      </c>
      <c r="B135" t="s">
        <v>29</v>
      </c>
      <c r="C135" t="s">
        <v>19</v>
      </c>
      <c r="D135">
        <v>1</v>
      </c>
      <c r="E135" t="s">
        <v>18</v>
      </c>
      <c r="F135" t="s">
        <v>19</v>
      </c>
      <c r="G135">
        <v>3620</v>
      </c>
      <c r="H135">
        <v>0</v>
      </c>
      <c r="I135">
        <v>90</v>
      </c>
      <c r="J135">
        <v>360</v>
      </c>
      <c r="K135">
        <v>1</v>
      </c>
      <c r="L135" t="s">
        <v>20</v>
      </c>
      <c r="M135">
        <v>3620</v>
      </c>
      <c r="N135">
        <v>2.486187845303867E-2</v>
      </c>
      <c r="O135" t="s">
        <v>21</v>
      </c>
    </row>
    <row r="136" spans="1:15" x14ac:dyDescent="0.35">
      <c r="A136" t="s">
        <v>161</v>
      </c>
      <c r="B136" t="s">
        <v>16</v>
      </c>
      <c r="C136" t="s">
        <v>19</v>
      </c>
      <c r="D136">
        <v>0</v>
      </c>
      <c r="E136" t="s">
        <v>18</v>
      </c>
      <c r="F136" t="s">
        <v>19</v>
      </c>
      <c r="G136">
        <v>4000</v>
      </c>
      <c r="H136">
        <v>0</v>
      </c>
      <c r="I136">
        <v>83</v>
      </c>
      <c r="J136">
        <v>84</v>
      </c>
      <c r="K136">
        <v>1</v>
      </c>
      <c r="L136" t="s">
        <v>20</v>
      </c>
      <c r="M136">
        <v>4000</v>
      </c>
      <c r="N136">
        <v>2.0750000000000001E-2</v>
      </c>
      <c r="O136" t="s">
        <v>21</v>
      </c>
    </row>
    <row r="137" spans="1:15" x14ac:dyDescent="0.35">
      <c r="A137" t="s">
        <v>162</v>
      </c>
      <c r="B137" t="s">
        <v>16</v>
      </c>
      <c r="C137" t="s">
        <v>17</v>
      </c>
      <c r="D137">
        <v>0</v>
      </c>
      <c r="E137" t="s">
        <v>18</v>
      </c>
      <c r="F137" t="s">
        <v>19</v>
      </c>
      <c r="G137">
        <v>4258</v>
      </c>
      <c r="H137">
        <v>0</v>
      </c>
      <c r="I137">
        <v>125</v>
      </c>
      <c r="J137">
        <v>360</v>
      </c>
      <c r="K137">
        <v>1</v>
      </c>
      <c r="L137" t="s">
        <v>20</v>
      </c>
      <c r="M137">
        <v>4258</v>
      </c>
      <c r="N137">
        <v>2.935650540159699E-2</v>
      </c>
      <c r="O137" t="s">
        <v>21</v>
      </c>
    </row>
    <row r="138" spans="1:15" x14ac:dyDescent="0.35">
      <c r="A138" t="s">
        <v>163</v>
      </c>
      <c r="B138" t="s">
        <v>16</v>
      </c>
      <c r="C138" t="s">
        <v>17</v>
      </c>
      <c r="D138">
        <v>2</v>
      </c>
      <c r="E138" t="s">
        <v>18</v>
      </c>
      <c r="F138" t="s">
        <v>19</v>
      </c>
      <c r="G138">
        <v>4500</v>
      </c>
      <c r="H138">
        <v>0</v>
      </c>
      <c r="I138">
        <v>147</v>
      </c>
      <c r="J138">
        <v>360</v>
      </c>
      <c r="K138">
        <v>1</v>
      </c>
      <c r="L138" t="s">
        <v>32</v>
      </c>
      <c r="M138">
        <v>4500</v>
      </c>
      <c r="N138">
        <v>3.2666666666666663E-2</v>
      </c>
      <c r="O138" t="s">
        <v>21</v>
      </c>
    </row>
    <row r="139" spans="1:15" x14ac:dyDescent="0.35">
      <c r="A139" t="s">
        <v>164</v>
      </c>
      <c r="B139" t="s">
        <v>16</v>
      </c>
      <c r="C139" t="s">
        <v>17</v>
      </c>
      <c r="D139">
        <v>1</v>
      </c>
      <c r="E139" t="s">
        <v>18</v>
      </c>
      <c r="F139" t="s">
        <v>19</v>
      </c>
      <c r="G139">
        <v>2014</v>
      </c>
      <c r="H139">
        <v>2925</v>
      </c>
      <c r="I139">
        <v>120</v>
      </c>
      <c r="J139">
        <v>360</v>
      </c>
      <c r="K139">
        <v>1</v>
      </c>
      <c r="L139" t="s">
        <v>32</v>
      </c>
      <c r="M139">
        <v>4939</v>
      </c>
      <c r="N139">
        <v>2.4296416278598909E-2</v>
      </c>
      <c r="O139" t="s">
        <v>21</v>
      </c>
    </row>
    <row r="140" spans="1:15" x14ac:dyDescent="0.35">
      <c r="A140" t="s">
        <v>165</v>
      </c>
      <c r="B140" t="s">
        <v>16</v>
      </c>
      <c r="C140" t="s">
        <v>19</v>
      </c>
      <c r="D140">
        <v>0</v>
      </c>
      <c r="E140" t="s">
        <v>18</v>
      </c>
      <c r="F140" t="s">
        <v>19</v>
      </c>
      <c r="G140">
        <v>3333</v>
      </c>
      <c r="H140">
        <v>1250</v>
      </c>
      <c r="I140">
        <v>110</v>
      </c>
      <c r="J140">
        <v>360</v>
      </c>
      <c r="K140">
        <v>1</v>
      </c>
      <c r="L140" t="s">
        <v>30</v>
      </c>
      <c r="M140">
        <v>4583</v>
      </c>
      <c r="N140">
        <v>2.4001745581496831E-2</v>
      </c>
      <c r="O140" t="s">
        <v>21</v>
      </c>
    </row>
    <row r="141" spans="1:15" x14ac:dyDescent="0.35">
      <c r="A141" t="s">
        <v>166</v>
      </c>
      <c r="B141" t="s">
        <v>29</v>
      </c>
      <c r="C141" t="s">
        <v>19</v>
      </c>
      <c r="D141" t="s">
        <v>39</v>
      </c>
      <c r="E141" t="s">
        <v>18</v>
      </c>
      <c r="F141" t="s">
        <v>19</v>
      </c>
      <c r="G141">
        <v>4083</v>
      </c>
      <c r="H141">
        <v>0</v>
      </c>
      <c r="I141">
        <v>103</v>
      </c>
      <c r="J141">
        <v>360</v>
      </c>
      <c r="K141">
        <v>1</v>
      </c>
      <c r="L141" t="s">
        <v>30</v>
      </c>
      <c r="M141">
        <v>4083</v>
      </c>
      <c r="N141">
        <v>2.5226549106049469E-2</v>
      </c>
      <c r="O141" t="s">
        <v>21</v>
      </c>
    </row>
    <row r="142" spans="1:15" x14ac:dyDescent="0.35">
      <c r="A142" t="s">
        <v>167</v>
      </c>
      <c r="B142" t="s">
        <v>16</v>
      </c>
      <c r="C142" t="s">
        <v>19</v>
      </c>
      <c r="D142">
        <v>0</v>
      </c>
      <c r="E142" t="s">
        <v>18</v>
      </c>
      <c r="F142" t="s">
        <v>19</v>
      </c>
      <c r="G142">
        <v>4727</v>
      </c>
      <c r="H142">
        <v>0</v>
      </c>
      <c r="I142">
        <v>150</v>
      </c>
      <c r="J142">
        <v>360</v>
      </c>
      <c r="K142">
        <v>0</v>
      </c>
      <c r="L142" t="s">
        <v>32</v>
      </c>
      <c r="M142">
        <v>4727</v>
      </c>
      <c r="N142">
        <v>3.1732599957689872E-2</v>
      </c>
      <c r="O142" t="s">
        <v>33</v>
      </c>
    </row>
    <row r="143" spans="1:15" x14ac:dyDescent="0.35">
      <c r="A143" t="s">
        <v>168</v>
      </c>
      <c r="B143" t="s">
        <v>16</v>
      </c>
      <c r="C143" t="s">
        <v>17</v>
      </c>
      <c r="D143" t="s">
        <v>39</v>
      </c>
      <c r="E143" t="s">
        <v>18</v>
      </c>
      <c r="F143" t="s">
        <v>19</v>
      </c>
      <c r="G143">
        <v>3089</v>
      </c>
      <c r="H143">
        <v>2999</v>
      </c>
      <c r="I143">
        <v>100</v>
      </c>
      <c r="J143">
        <v>240</v>
      </c>
      <c r="K143">
        <v>1</v>
      </c>
      <c r="L143" t="s">
        <v>32</v>
      </c>
      <c r="M143">
        <v>6088</v>
      </c>
      <c r="N143">
        <v>1.6425755584756899E-2</v>
      </c>
      <c r="O143" t="s">
        <v>21</v>
      </c>
    </row>
    <row r="144" spans="1:15" x14ac:dyDescent="0.35">
      <c r="A144" t="s">
        <v>169</v>
      </c>
      <c r="B144" t="s">
        <v>16</v>
      </c>
      <c r="C144" t="s">
        <v>17</v>
      </c>
      <c r="D144" t="s">
        <v>39</v>
      </c>
      <c r="E144" t="s">
        <v>26</v>
      </c>
      <c r="F144" t="s">
        <v>19</v>
      </c>
      <c r="G144">
        <v>6794</v>
      </c>
      <c r="H144">
        <v>528</v>
      </c>
      <c r="I144">
        <v>139</v>
      </c>
      <c r="J144">
        <v>360</v>
      </c>
      <c r="K144">
        <v>0</v>
      </c>
      <c r="L144" t="s">
        <v>20</v>
      </c>
      <c r="M144">
        <v>7322</v>
      </c>
      <c r="N144">
        <v>1.8983884184649E-2</v>
      </c>
      <c r="O144" t="s">
        <v>33</v>
      </c>
    </row>
    <row r="145" spans="1:15" x14ac:dyDescent="0.35">
      <c r="A145" t="s">
        <v>170</v>
      </c>
      <c r="B145" t="s">
        <v>16</v>
      </c>
      <c r="C145" t="s">
        <v>17</v>
      </c>
      <c r="D145">
        <v>0</v>
      </c>
      <c r="E145" t="s">
        <v>18</v>
      </c>
      <c r="F145" t="s">
        <v>17</v>
      </c>
      <c r="G145">
        <v>32000</v>
      </c>
      <c r="H145">
        <v>0</v>
      </c>
      <c r="I145">
        <v>550</v>
      </c>
      <c r="J145">
        <v>360</v>
      </c>
      <c r="K145">
        <v>1</v>
      </c>
      <c r="L145" t="s">
        <v>30</v>
      </c>
      <c r="M145">
        <v>32000</v>
      </c>
      <c r="N145">
        <v>1.7187500000000001E-2</v>
      </c>
      <c r="O145" t="s">
        <v>33</v>
      </c>
    </row>
    <row r="146" spans="1:15" x14ac:dyDescent="0.35">
      <c r="A146" t="s">
        <v>171</v>
      </c>
      <c r="B146" t="s">
        <v>16</v>
      </c>
      <c r="C146" t="s">
        <v>17</v>
      </c>
      <c r="D146">
        <v>2</v>
      </c>
      <c r="E146" t="s">
        <v>18</v>
      </c>
      <c r="F146" t="s">
        <v>17</v>
      </c>
      <c r="G146">
        <v>10890</v>
      </c>
      <c r="H146">
        <v>0</v>
      </c>
      <c r="I146">
        <v>260</v>
      </c>
      <c r="J146">
        <v>12</v>
      </c>
      <c r="K146">
        <v>1</v>
      </c>
      <c r="L146" t="s">
        <v>32</v>
      </c>
      <c r="M146">
        <v>10890</v>
      </c>
      <c r="N146">
        <v>2.3875114784205689E-2</v>
      </c>
      <c r="O146" t="s">
        <v>21</v>
      </c>
    </row>
    <row r="147" spans="1:15" x14ac:dyDescent="0.35">
      <c r="A147" t="s">
        <v>172</v>
      </c>
      <c r="B147" t="s">
        <v>29</v>
      </c>
      <c r="C147" t="s">
        <v>19</v>
      </c>
      <c r="D147">
        <v>0</v>
      </c>
      <c r="E147" t="s">
        <v>18</v>
      </c>
      <c r="F147" t="s">
        <v>19</v>
      </c>
      <c r="G147">
        <v>12941</v>
      </c>
      <c r="H147">
        <v>0</v>
      </c>
      <c r="I147">
        <v>150</v>
      </c>
      <c r="J147">
        <v>300</v>
      </c>
      <c r="K147">
        <v>1</v>
      </c>
      <c r="L147" t="s">
        <v>20</v>
      </c>
      <c r="M147">
        <v>12941</v>
      </c>
      <c r="N147">
        <v>1.159106715091569E-2</v>
      </c>
      <c r="O147" t="s">
        <v>21</v>
      </c>
    </row>
    <row r="148" spans="1:15" x14ac:dyDescent="0.35">
      <c r="A148" t="s">
        <v>173</v>
      </c>
      <c r="B148" t="s">
        <v>16</v>
      </c>
      <c r="C148" t="s">
        <v>19</v>
      </c>
      <c r="D148">
        <v>0</v>
      </c>
      <c r="E148" t="s">
        <v>26</v>
      </c>
      <c r="F148" t="s">
        <v>19</v>
      </c>
      <c r="G148">
        <v>3276</v>
      </c>
      <c r="H148">
        <v>0</v>
      </c>
      <c r="I148">
        <v>90</v>
      </c>
      <c r="J148">
        <v>360</v>
      </c>
      <c r="K148">
        <v>1</v>
      </c>
      <c r="L148" t="s">
        <v>30</v>
      </c>
      <c r="M148">
        <v>3276</v>
      </c>
      <c r="N148">
        <v>2.7472527472527469E-2</v>
      </c>
      <c r="O148" t="s">
        <v>21</v>
      </c>
    </row>
    <row r="149" spans="1:15" x14ac:dyDescent="0.35">
      <c r="A149" t="s">
        <v>174</v>
      </c>
      <c r="B149" t="s">
        <v>16</v>
      </c>
      <c r="C149" t="s">
        <v>19</v>
      </c>
      <c r="D149">
        <v>0</v>
      </c>
      <c r="E149" t="s">
        <v>26</v>
      </c>
      <c r="F149" t="s">
        <v>17</v>
      </c>
      <c r="G149">
        <v>8703</v>
      </c>
      <c r="H149">
        <v>0</v>
      </c>
      <c r="I149">
        <v>199</v>
      </c>
      <c r="J149">
        <v>360</v>
      </c>
      <c r="K149">
        <v>0</v>
      </c>
      <c r="L149" t="s">
        <v>32</v>
      </c>
      <c r="M149">
        <v>8703</v>
      </c>
      <c r="N149">
        <v>2.2865678501666091E-2</v>
      </c>
      <c r="O149" t="s">
        <v>33</v>
      </c>
    </row>
    <row r="150" spans="1:15" x14ac:dyDescent="0.35">
      <c r="A150" t="s">
        <v>175</v>
      </c>
      <c r="B150" t="s">
        <v>16</v>
      </c>
      <c r="C150" t="s">
        <v>17</v>
      </c>
      <c r="D150">
        <v>1</v>
      </c>
      <c r="E150" t="s">
        <v>18</v>
      </c>
      <c r="F150" t="s">
        <v>19</v>
      </c>
      <c r="G150">
        <v>4742</v>
      </c>
      <c r="H150">
        <v>717</v>
      </c>
      <c r="I150">
        <v>139</v>
      </c>
      <c r="J150">
        <v>360</v>
      </c>
      <c r="K150">
        <v>1</v>
      </c>
      <c r="L150" t="s">
        <v>30</v>
      </c>
      <c r="M150">
        <v>5459</v>
      </c>
      <c r="N150">
        <v>2.5462538926543321E-2</v>
      </c>
      <c r="O150" t="s">
        <v>21</v>
      </c>
    </row>
    <row r="151" spans="1:15" x14ac:dyDescent="0.35">
      <c r="A151" t="s">
        <v>176</v>
      </c>
      <c r="B151" t="s">
        <v>16</v>
      </c>
      <c r="C151" t="s">
        <v>19</v>
      </c>
      <c r="D151">
        <v>0</v>
      </c>
      <c r="E151" t="s">
        <v>18</v>
      </c>
      <c r="F151" t="s">
        <v>19</v>
      </c>
      <c r="G151">
        <v>5900</v>
      </c>
      <c r="H151">
        <v>0</v>
      </c>
      <c r="I151">
        <v>150</v>
      </c>
      <c r="J151">
        <v>360</v>
      </c>
      <c r="K151">
        <v>1</v>
      </c>
      <c r="L151" t="s">
        <v>20</v>
      </c>
      <c r="M151">
        <v>5900</v>
      </c>
      <c r="N151">
        <v>2.542372881355932E-2</v>
      </c>
      <c r="O151" t="s">
        <v>21</v>
      </c>
    </row>
    <row r="152" spans="1:15" x14ac:dyDescent="0.35">
      <c r="A152" t="s">
        <v>177</v>
      </c>
      <c r="B152" t="s">
        <v>16</v>
      </c>
      <c r="C152" t="s">
        <v>19</v>
      </c>
      <c r="D152">
        <v>0</v>
      </c>
      <c r="E152" t="s">
        <v>18</v>
      </c>
      <c r="F152" t="s">
        <v>19</v>
      </c>
      <c r="G152">
        <v>3071</v>
      </c>
      <c r="H152">
        <v>4309</v>
      </c>
      <c r="I152">
        <v>180</v>
      </c>
      <c r="J152">
        <v>360</v>
      </c>
      <c r="K152">
        <v>1</v>
      </c>
      <c r="L152" t="s">
        <v>20</v>
      </c>
      <c r="M152">
        <v>7380</v>
      </c>
      <c r="N152">
        <v>2.4390243902439029E-2</v>
      </c>
      <c r="O152" t="s">
        <v>21</v>
      </c>
    </row>
    <row r="153" spans="1:15" x14ac:dyDescent="0.35">
      <c r="A153" t="s">
        <v>178</v>
      </c>
      <c r="B153" t="s">
        <v>16</v>
      </c>
      <c r="C153" t="s">
        <v>17</v>
      </c>
      <c r="D153">
        <v>0</v>
      </c>
      <c r="E153" t="s">
        <v>18</v>
      </c>
      <c r="F153" t="s">
        <v>19</v>
      </c>
      <c r="G153">
        <v>2783</v>
      </c>
      <c r="H153">
        <v>1456</v>
      </c>
      <c r="I153">
        <v>113</v>
      </c>
      <c r="J153">
        <v>360</v>
      </c>
      <c r="K153">
        <v>1</v>
      </c>
      <c r="L153" t="s">
        <v>20</v>
      </c>
      <c r="M153">
        <v>4239</v>
      </c>
      <c r="N153">
        <v>2.6657230478886532E-2</v>
      </c>
      <c r="O153" t="s">
        <v>21</v>
      </c>
    </row>
    <row r="154" spans="1:15" x14ac:dyDescent="0.35">
      <c r="A154" t="s">
        <v>179</v>
      </c>
      <c r="B154" t="s">
        <v>16</v>
      </c>
      <c r="C154" t="s">
        <v>19</v>
      </c>
      <c r="D154">
        <v>0</v>
      </c>
      <c r="E154" t="s">
        <v>18</v>
      </c>
      <c r="F154" t="s">
        <v>19</v>
      </c>
      <c r="G154">
        <v>5000</v>
      </c>
      <c r="H154">
        <v>0</v>
      </c>
      <c r="I154">
        <v>148</v>
      </c>
      <c r="J154">
        <v>360</v>
      </c>
      <c r="K154">
        <v>1</v>
      </c>
      <c r="L154" t="s">
        <v>32</v>
      </c>
      <c r="M154">
        <v>5000</v>
      </c>
      <c r="N154">
        <v>2.9600000000000001E-2</v>
      </c>
      <c r="O154" t="s">
        <v>21</v>
      </c>
    </row>
    <row r="155" spans="1:15" x14ac:dyDescent="0.35">
      <c r="A155" t="s">
        <v>180</v>
      </c>
      <c r="B155" t="s">
        <v>16</v>
      </c>
      <c r="C155" t="s">
        <v>17</v>
      </c>
      <c r="D155">
        <v>1</v>
      </c>
      <c r="E155" t="s">
        <v>26</v>
      </c>
      <c r="F155" t="s">
        <v>19</v>
      </c>
      <c r="G155">
        <v>2463</v>
      </c>
      <c r="H155">
        <v>2360</v>
      </c>
      <c r="I155">
        <v>117</v>
      </c>
      <c r="J155">
        <v>360</v>
      </c>
      <c r="K155">
        <v>0</v>
      </c>
      <c r="L155" t="s">
        <v>20</v>
      </c>
      <c r="M155">
        <v>4823</v>
      </c>
      <c r="N155">
        <v>2.4258760107816711E-2</v>
      </c>
      <c r="O155" t="s">
        <v>33</v>
      </c>
    </row>
    <row r="156" spans="1:15" x14ac:dyDescent="0.35">
      <c r="A156" t="s">
        <v>181</v>
      </c>
      <c r="B156" t="s">
        <v>16</v>
      </c>
      <c r="C156" t="s">
        <v>17</v>
      </c>
      <c r="D156">
        <v>2</v>
      </c>
      <c r="E156" t="s">
        <v>18</v>
      </c>
      <c r="F156" t="s">
        <v>19</v>
      </c>
      <c r="G156">
        <v>4855</v>
      </c>
      <c r="H156">
        <v>0</v>
      </c>
      <c r="I156">
        <v>72</v>
      </c>
      <c r="J156">
        <v>360</v>
      </c>
      <c r="K156">
        <v>1</v>
      </c>
      <c r="L156" t="s">
        <v>32</v>
      </c>
      <c r="M156">
        <v>4855</v>
      </c>
      <c r="N156">
        <v>1.483007209062822E-2</v>
      </c>
      <c r="O156" t="s">
        <v>21</v>
      </c>
    </row>
    <row r="157" spans="1:15" x14ac:dyDescent="0.35">
      <c r="A157" t="s">
        <v>182</v>
      </c>
      <c r="B157" t="s">
        <v>16</v>
      </c>
      <c r="C157" t="s">
        <v>19</v>
      </c>
      <c r="D157">
        <v>0</v>
      </c>
      <c r="E157" t="s">
        <v>26</v>
      </c>
      <c r="F157" t="s">
        <v>17</v>
      </c>
      <c r="G157">
        <v>1599</v>
      </c>
      <c r="H157">
        <v>2474</v>
      </c>
      <c r="I157">
        <v>125</v>
      </c>
      <c r="J157">
        <v>300</v>
      </c>
      <c r="K157">
        <v>1</v>
      </c>
      <c r="L157" t="s">
        <v>30</v>
      </c>
      <c r="M157">
        <v>4073</v>
      </c>
      <c r="N157">
        <v>3.0689909157868889E-2</v>
      </c>
      <c r="O157" t="s">
        <v>21</v>
      </c>
    </row>
    <row r="158" spans="1:15" x14ac:dyDescent="0.35">
      <c r="A158" t="s">
        <v>183</v>
      </c>
      <c r="B158" t="s">
        <v>16</v>
      </c>
      <c r="C158" t="s">
        <v>17</v>
      </c>
      <c r="D158">
        <v>2</v>
      </c>
      <c r="E158" t="s">
        <v>18</v>
      </c>
      <c r="F158" t="s">
        <v>17</v>
      </c>
      <c r="G158">
        <v>4246</v>
      </c>
      <c r="H158">
        <v>4246</v>
      </c>
      <c r="I158">
        <v>214</v>
      </c>
      <c r="J158">
        <v>360</v>
      </c>
      <c r="K158">
        <v>1</v>
      </c>
      <c r="L158" t="s">
        <v>20</v>
      </c>
      <c r="M158">
        <v>8492</v>
      </c>
      <c r="N158">
        <v>2.5200188412623649E-2</v>
      </c>
      <c r="O158" t="s">
        <v>21</v>
      </c>
    </row>
    <row r="159" spans="1:15" x14ac:dyDescent="0.35">
      <c r="A159" t="s">
        <v>184</v>
      </c>
      <c r="B159" t="s">
        <v>16</v>
      </c>
      <c r="C159" t="s">
        <v>17</v>
      </c>
      <c r="D159">
        <v>0</v>
      </c>
      <c r="E159" t="s">
        <v>18</v>
      </c>
      <c r="F159" t="s">
        <v>19</v>
      </c>
      <c r="G159">
        <v>4333</v>
      </c>
      <c r="H159">
        <v>2291</v>
      </c>
      <c r="I159">
        <v>133</v>
      </c>
      <c r="J159">
        <v>350</v>
      </c>
      <c r="K159">
        <v>1</v>
      </c>
      <c r="L159" t="s">
        <v>32</v>
      </c>
      <c r="M159">
        <v>6624</v>
      </c>
      <c r="N159">
        <v>2.007850241545894E-2</v>
      </c>
      <c r="O159" t="s">
        <v>21</v>
      </c>
    </row>
    <row r="160" spans="1:15" x14ac:dyDescent="0.35">
      <c r="A160" t="s">
        <v>185</v>
      </c>
      <c r="B160" t="s">
        <v>16</v>
      </c>
      <c r="C160" t="s">
        <v>19</v>
      </c>
      <c r="D160">
        <v>1</v>
      </c>
      <c r="E160" t="s">
        <v>18</v>
      </c>
      <c r="F160" t="s">
        <v>19</v>
      </c>
      <c r="G160">
        <v>5823</v>
      </c>
      <c r="H160">
        <v>2529</v>
      </c>
      <c r="I160">
        <v>187</v>
      </c>
      <c r="J160">
        <v>360</v>
      </c>
      <c r="K160">
        <v>1</v>
      </c>
      <c r="L160" t="s">
        <v>30</v>
      </c>
      <c r="M160">
        <v>8352</v>
      </c>
      <c r="N160">
        <v>2.2389846743295021E-2</v>
      </c>
      <c r="O160" t="s">
        <v>21</v>
      </c>
    </row>
    <row r="161" spans="1:15" x14ac:dyDescent="0.35">
      <c r="A161" t="s">
        <v>186</v>
      </c>
      <c r="B161" t="s">
        <v>16</v>
      </c>
      <c r="C161" t="s">
        <v>17</v>
      </c>
      <c r="D161">
        <v>0</v>
      </c>
      <c r="E161" t="s">
        <v>26</v>
      </c>
      <c r="F161" t="s">
        <v>19</v>
      </c>
      <c r="G161">
        <v>7895</v>
      </c>
      <c r="H161">
        <v>0</v>
      </c>
      <c r="I161">
        <v>143</v>
      </c>
      <c r="J161">
        <v>360</v>
      </c>
      <c r="K161">
        <v>1</v>
      </c>
      <c r="L161" t="s">
        <v>32</v>
      </c>
      <c r="M161">
        <v>7895</v>
      </c>
      <c r="N161">
        <v>1.811272957568081E-2</v>
      </c>
      <c r="O161" t="s">
        <v>21</v>
      </c>
    </row>
    <row r="162" spans="1:15" x14ac:dyDescent="0.35">
      <c r="A162" t="s">
        <v>187</v>
      </c>
      <c r="B162" t="s">
        <v>16</v>
      </c>
      <c r="C162" t="s">
        <v>19</v>
      </c>
      <c r="D162">
        <v>0</v>
      </c>
      <c r="E162" t="s">
        <v>18</v>
      </c>
      <c r="F162" t="s">
        <v>19</v>
      </c>
      <c r="G162">
        <v>4150</v>
      </c>
      <c r="H162">
        <v>4256</v>
      </c>
      <c r="I162">
        <v>209</v>
      </c>
      <c r="J162">
        <v>360</v>
      </c>
      <c r="K162">
        <v>1</v>
      </c>
      <c r="L162" t="s">
        <v>32</v>
      </c>
      <c r="M162">
        <v>8406</v>
      </c>
      <c r="N162">
        <v>2.4863192957411372E-2</v>
      </c>
      <c r="O162" t="s">
        <v>21</v>
      </c>
    </row>
    <row r="163" spans="1:15" x14ac:dyDescent="0.35">
      <c r="A163" t="s">
        <v>188</v>
      </c>
      <c r="B163" t="s">
        <v>16</v>
      </c>
      <c r="C163" t="s">
        <v>19</v>
      </c>
      <c r="D163">
        <v>0</v>
      </c>
      <c r="E163" t="s">
        <v>18</v>
      </c>
      <c r="F163" t="s">
        <v>19</v>
      </c>
      <c r="G163">
        <v>2964</v>
      </c>
      <c r="H163">
        <v>0</v>
      </c>
      <c r="I163">
        <v>84</v>
      </c>
      <c r="J163">
        <v>360</v>
      </c>
      <c r="K163">
        <v>0</v>
      </c>
      <c r="L163" t="s">
        <v>30</v>
      </c>
      <c r="M163">
        <v>2964</v>
      </c>
      <c r="N163">
        <v>2.8340080971659919E-2</v>
      </c>
      <c r="O163" t="s">
        <v>33</v>
      </c>
    </row>
    <row r="164" spans="1:15" x14ac:dyDescent="0.35">
      <c r="A164" t="s">
        <v>189</v>
      </c>
      <c r="B164" t="s">
        <v>16</v>
      </c>
      <c r="C164" t="s">
        <v>19</v>
      </c>
      <c r="D164">
        <v>0</v>
      </c>
      <c r="E164" t="s">
        <v>18</v>
      </c>
      <c r="F164" t="s">
        <v>19</v>
      </c>
      <c r="G164">
        <v>5583</v>
      </c>
      <c r="H164">
        <v>0</v>
      </c>
      <c r="I164">
        <v>116</v>
      </c>
      <c r="J164">
        <v>360</v>
      </c>
      <c r="K164">
        <v>1</v>
      </c>
      <c r="L164" t="s">
        <v>20</v>
      </c>
      <c r="M164">
        <v>5583</v>
      </c>
      <c r="N164">
        <v>2.0777359842378652E-2</v>
      </c>
      <c r="O164" t="s">
        <v>21</v>
      </c>
    </row>
    <row r="165" spans="1:15" x14ac:dyDescent="0.35">
      <c r="A165" t="s">
        <v>190</v>
      </c>
      <c r="B165" t="s">
        <v>29</v>
      </c>
      <c r="C165" t="s">
        <v>19</v>
      </c>
      <c r="D165">
        <v>0</v>
      </c>
      <c r="E165" t="s">
        <v>18</v>
      </c>
      <c r="F165" t="s">
        <v>19</v>
      </c>
      <c r="G165">
        <v>2708</v>
      </c>
      <c r="H165">
        <v>0</v>
      </c>
      <c r="I165">
        <v>65</v>
      </c>
      <c r="J165">
        <v>360</v>
      </c>
      <c r="K165">
        <v>1</v>
      </c>
      <c r="L165" t="s">
        <v>32</v>
      </c>
      <c r="M165">
        <v>2708</v>
      </c>
      <c r="N165">
        <v>2.4002954209748888E-2</v>
      </c>
      <c r="O165" t="s">
        <v>21</v>
      </c>
    </row>
    <row r="166" spans="1:15" x14ac:dyDescent="0.35">
      <c r="A166" t="s">
        <v>191</v>
      </c>
      <c r="B166" t="s">
        <v>16</v>
      </c>
      <c r="C166" t="s">
        <v>19</v>
      </c>
      <c r="D166">
        <v>1</v>
      </c>
      <c r="E166" t="s">
        <v>18</v>
      </c>
      <c r="F166" t="s">
        <v>19</v>
      </c>
      <c r="G166">
        <v>3180</v>
      </c>
      <c r="H166">
        <v>2370</v>
      </c>
      <c r="I166">
        <v>80</v>
      </c>
      <c r="J166">
        <v>240</v>
      </c>
      <c r="K166">
        <v>1</v>
      </c>
      <c r="L166" t="s">
        <v>32</v>
      </c>
      <c r="M166">
        <v>5550</v>
      </c>
      <c r="N166">
        <v>1.4414414414414409E-2</v>
      </c>
      <c r="O166" t="s">
        <v>21</v>
      </c>
    </row>
    <row r="167" spans="1:15" x14ac:dyDescent="0.35">
      <c r="A167" t="s">
        <v>192</v>
      </c>
      <c r="B167" t="s">
        <v>16</v>
      </c>
      <c r="C167" t="s">
        <v>19</v>
      </c>
      <c r="D167">
        <v>0</v>
      </c>
      <c r="E167" t="s">
        <v>26</v>
      </c>
      <c r="F167" t="s">
        <v>19</v>
      </c>
      <c r="G167">
        <v>2268</v>
      </c>
      <c r="H167">
        <v>0</v>
      </c>
      <c r="I167">
        <v>170</v>
      </c>
      <c r="J167">
        <v>360</v>
      </c>
      <c r="K167">
        <v>0</v>
      </c>
      <c r="L167" t="s">
        <v>30</v>
      </c>
      <c r="M167">
        <v>2268</v>
      </c>
      <c r="N167">
        <v>7.4955908289241618E-2</v>
      </c>
      <c r="O167" t="s">
        <v>33</v>
      </c>
    </row>
    <row r="168" spans="1:15" x14ac:dyDescent="0.35">
      <c r="A168" t="s">
        <v>193</v>
      </c>
      <c r="B168" t="s">
        <v>16</v>
      </c>
      <c r="C168" t="s">
        <v>19</v>
      </c>
      <c r="D168">
        <v>2</v>
      </c>
      <c r="E168" t="s">
        <v>26</v>
      </c>
      <c r="F168" t="s">
        <v>19</v>
      </c>
      <c r="G168">
        <v>1141</v>
      </c>
      <c r="H168">
        <v>2017</v>
      </c>
      <c r="I168">
        <v>120</v>
      </c>
      <c r="J168">
        <v>360</v>
      </c>
      <c r="K168">
        <v>0</v>
      </c>
      <c r="L168" t="s">
        <v>20</v>
      </c>
      <c r="M168">
        <v>3158</v>
      </c>
      <c r="N168">
        <v>3.799873337555415E-2</v>
      </c>
      <c r="O168" t="s">
        <v>33</v>
      </c>
    </row>
    <row r="169" spans="1:15" x14ac:dyDescent="0.35">
      <c r="A169" t="s">
        <v>194</v>
      </c>
      <c r="B169" t="s">
        <v>16</v>
      </c>
      <c r="C169" t="s">
        <v>17</v>
      </c>
      <c r="D169">
        <v>0</v>
      </c>
      <c r="E169" t="s">
        <v>18</v>
      </c>
      <c r="F169" t="s">
        <v>19</v>
      </c>
      <c r="G169">
        <v>3042</v>
      </c>
      <c r="H169">
        <v>3167</v>
      </c>
      <c r="I169">
        <v>135</v>
      </c>
      <c r="J169">
        <v>360</v>
      </c>
      <c r="K169">
        <v>1</v>
      </c>
      <c r="L169" t="s">
        <v>20</v>
      </c>
      <c r="M169">
        <v>6209</v>
      </c>
      <c r="N169">
        <v>2.1742631663713961E-2</v>
      </c>
      <c r="O169" t="s">
        <v>21</v>
      </c>
    </row>
    <row r="170" spans="1:15" x14ac:dyDescent="0.35">
      <c r="A170" t="s">
        <v>195</v>
      </c>
      <c r="B170" t="s">
        <v>29</v>
      </c>
      <c r="C170" t="s">
        <v>17</v>
      </c>
      <c r="D170" t="s">
        <v>39</v>
      </c>
      <c r="E170" t="s">
        <v>18</v>
      </c>
      <c r="F170" t="s">
        <v>19</v>
      </c>
      <c r="G170">
        <v>1750</v>
      </c>
      <c r="H170">
        <v>2935</v>
      </c>
      <c r="I170">
        <v>94</v>
      </c>
      <c r="J170">
        <v>360</v>
      </c>
      <c r="K170">
        <v>0</v>
      </c>
      <c r="L170" t="s">
        <v>30</v>
      </c>
      <c r="M170">
        <v>4685</v>
      </c>
      <c r="N170">
        <v>2.0064034151547491E-2</v>
      </c>
      <c r="O170" t="s">
        <v>33</v>
      </c>
    </row>
    <row r="171" spans="1:15" x14ac:dyDescent="0.35">
      <c r="A171" t="s">
        <v>196</v>
      </c>
      <c r="B171" t="s">
        <v>29</v>
      </c>
      <c r="C171" t="s">
        <v>17</v>
      </c>
      <c r="D171">
        <v>1</v>
      </c>
      <c r="E171" t="s">
        <v>18</v>
      </c>
      <c r="F171" t="s">
        <v>19</v>
      </c>
      <c r="G171">
        <v>3564</v>
      </c>
      <c r="H171">
        <v>0</v>
      </c>
      <c r="I171">
        <v>79</v>
      </c>
      <c r="J171">
        <v>360</v>
      </c>
      <c r="K171">
        <v>1</v>
      </c>
      <c r="L171" t="s">
        <v>32</v>
      </c>
      <c r="M171">
        <v>3564</v>
      </c>
      <c r="N171">
        <v>2.2166105499438829E-2</v>
      </c>
      <c r="O171" t="s">
        <v>21</v>
      </c>
    </row>
    <row r="172" spans="1:15" x14ac:dyDescent="0.35">
      <c r="A172" t="s">
        <v>197</v>
      </c>
      <c r="B172" t="s">
        <v>29</v>
      </c>
      <c r="C172" t="s">
        <v>19</v>
      </c>
      <c r="D172">
        <v>0</v>
      </c>
      <c r="E172" t="s">
        <v>18</v>
      </c>
      <c r="F172" t="s">
        <v>19</v>
      </c>
      <c r="G172">
        <v>3958</v>
      </c>
      <c r="H172">
        <v>0</v>
      </c>
      <c r="I172">
        <v>110</v>
      </c>
      <c r="J172">
        <v>360</v>
      </c>
      <c r="K172">
        <v>1</v>
      </c>
      <c r="L172" t="s">
        <v>32</v>
      </c>
      <c r="M172">
        <v>3958</v>
      </c>
      <c r="N172">
        <v>2.7791814047498739E-2</v>
      </c>
      <c r="O172" t="s">
        <v>21</v>
      </c>
    </row>
    <row r="173" spans="1:15" x14ac:dyDescent="0.35">
      <c r="A173" t="s">
        <v>198</v>
      </c>
      <c r="B173" t="s">
        <v>16</v>
      </c>
      <c r="C173" t="s">
        <v>17</v>
      </c>
      <c r="D173">
        <v>2</v>
      </c>
      <c r="E173" t="s">
        <v>26</v>
      </c>
      <c r="F173" t="s">
        <v>19</v>
      </c>
      <c r="G173">
        <v>4483</v>
      </c>
      <c r="H173">
        <v>0</v>
      </c>
      <c r="I173">
        <v>130</v>
      </c>
      <c r="J173">
        <v>360</v>
      </c>
      <c r="K173">
        <v>1</v>
      </c>
      <c r="L173" t="s">
        <v>32</v>
      </c>
      <c r="M173">
        <v>4483</v>
      </c>
      <c r="N173">
        <v>2.8998438545616779E-2</v>
      </c>
      <c r="O173" t="s">
        <v>21</v>
      </c>
    </row>
    <row r="174" spans="1:15" x14ac:dyDescent="0.35">
      <c r="A174" t="s">
        <v>199</v>
      </c>
      <c r="B174" t="s">
        <v>16</v>
      </c>
      <c r="C174" t="s">
        <v>17</v>
      </c>
      <c r="D174">
        <v>0</v>
      </c>
      <c r="E174" t="s">
        <v>18</v>
      </c>
      <c r="F174" t="s">
        <v>19</v>
      </c>
      <c r="G174">
        <v>5225</v>
      </c>
      <c r="H174">
        <v>0</v>
      </c>
      <c r="I174">
        <v>143</v>
      </c>
      <c r="J174">
        <v>360</v>
      </c>
      <c r="K174">
        <v>1</v>
      </c>
      <c r="L174" t="s">
        <v>32</v>
      </c>
      <c r="M174">
        <v>5225</v>
      </c>
      <c r="N174">
        <v>2.736842105263158E-2</v>
      </c>
      <c r="O174" t="s">
        <v>21</v>
      </c>
    </row>
    <row r="175" spans="1:15" x14ac:dyDescent="0.35">
      <c r="A175" t="s">
        <v>200</v>
      </c>
      <c r="B175" t="s">
        <v>16</v>
      </c>
      <c r="C175" t="s">
        <v>19</v>
      </c>
      <c r="D175">
        <v>0</v>
      </c>
      <c r="E175" t="s">
        <v>18</v>
      </c>
      <c r="F175" t="s">
        <v>19</v>
      </c>
      <c r="G175">
        <v>3017</v>
      </c>
      <c r="H175">
        <v>2845</v>
      </c>
      <c r="I175">
        <v>159</v>
      </c>
      <c r="J175">
        <v>180</v>
      </c>
      <c r="K175">
        <v>0</v>
      </c>
      <c r="L175" t="s">
        <v>20</v>
      </c>
      <c r="M175">
        <v>5862</v>
      </c>
      <c r="N175">
        <v>2.7123848515864891E-2</v>
      </c>
      <c r="O175" t="s">
        <v>33</v>
      </c>
    </row>
    <row r="176" spans="1:15" x14ac:dyDescent="0.35">
      <c r="A176" t="s">
        <v>201</v>
      </c>
      <c r="B176" t="s">
        <v>16</v>
      </c>
      <c r="C176" t="s">
        <v>17</v>
      </c>
      <c r="D176">
        <v>0</v>
      </c>
      <c r="E176" t="s">
        <v>26</v>
      </c>
      <c r="F176" t="s">
        <v>19</v>
      </c>
      <c r="G176">
        <v>2431</v>
      </c>
      <c r="H176">
        <v>1820</v>
      </c>
      <c r="I176">
        <v>110</v>
      </c>
      <c r="J176">
        <v>360</v>
      </c>
      <c r="K176">
        <v>0</v>
      </c>
      <c r="L176" t="s">
        <v>32</v>
      </c>
      <c r="M176">
        <v>4251</v>
      </c>
      <c r="N176">
        <v>2.58762644083745E-2</v>
      </c>
      <c r="O176" t="s">
        <v>33</v>
      </c>
    </row>
    <row r="177" spans="1:15" x14ac:dyDescent="0.35">
      <c r="A177" t="s">
        <v>202</v>
      </c>
      <c r="B177" t="s">
        <v>16</v>
      </c>
      <c r="C177" t="s">
        <v>17</v>
      </c>
      <c r="D177">
        <v>2</v>
      </c>
      <c r="E177" t="s">
        <v>18</v>
      </c>
      <c r="F177" t="s">
        <v>19</v>
      </c>
      <c r="G177">
        <v>4912</v>
      </c>
      <c r="H177">
        <v>4614</v>
      </c>
      <c r="I177">
        <v>160</v>
      </c>
      <c r="J177">
        <v>360</v>
      </c>
      <c r="K177">
        <v>1</v>
      </c>
      <c r="L177" t="s">
        <v>32</v>
      </c>
      <c r="M177">
        <v>9526</v>
      </c>
      <c r="N177">
        <v>1.6796136888515639E-2</v>
      </c>
      <c r="O177" t="s">
        <v>21</v>
      </c>
    </row>
    <row r="178" spans="1:15" x14ac:dyDescent="0.35">
      <c r="A178" t="s">
        <v>203</v>
      </c>
      <c r="B178" t="s">
        <v>16</v>
      </c>
      <c r="C178" t="s">
        <v>17</v>
      </c>
      <c r="D178">
        <v>2</v>
      </c>
      <c r="E178" t="s">
        <v>26</v>
      </c>
      <c r="F178" t="s">
        <v>19</v>
      </c>
      <c r="G178">
        <v>2500</v>
      </c>
      <c r="H178">
        <v>3333</v>
      </c>
      <c r="I178">
        <v>131</v>
      </c>
      <c r="J178">
        <v>360</v>
      </c>
      <c r="K178">
        <v>1</v>
      </c>
      <c r="L178" t="s">
        <v>20</v>
      </c>
      <c r="M178">
        <v>5833</v>
      </c>
      <c r="N178">
        <v>2.2458426195782619E-2</v>
      </c>
      <c r="O178" t="s">
        <v>21</v>
      </c>
    </row>
    <row r="179" spans="1:15" x14ac:dyDescent="0.35">
      <c r="A179" t="s">
        <v>204</v>
      </c>
      <c r="B179" t="s">
        <v>29</v>
      </c>
      <c r="C179" t="s">
        <v>19</v>
      </c>
      <c r="D179">
        <v>0</v>
      </c>
      <c r="E179" t="s">
        <v>18</v>
      </c>
      <c r="F179" t="s">
        <v>19</v>
      </c>
      <c r="G179">
        <v>2918</v>
      </c>
      <c r="H179">
        <v>0</v>
      </c>
      <c r="I179">
        <v>65</v>
      </c>
      <c r="J179">
        <v>360</v>
      </c>
      <c r="K179">
        <v>1</v>
      </c>
      <c r="L179" t="s">
        <v>32</v>
      </c>
      <c r="M179">
        <v>2918</v>
      </c>
      <c r="N179">
        <v>2.2275531185743661E-2</v>
      </c>
      <c r="O179" t="s">
        <v>21</v>
      </c>
    </row>
    <row r="180" spans="1:15" x14ac:dyDescent="0.35">
      <c r="A180" t="s">
        <v>205</v>
      </c>
      <c r="B180" t="s">
        <v>16</v>
      </c>
      <c r="C180" t="s">
        <v>17</v>
      </c>
      <c r="D180">
        <v>2</v>
      </c>
      <c r="E180" t="s">
        <v>18</v>
      </c>
      <c r="F180" t="s">
        <v>19</v>
      </c>
      <c r="G180">
        <v>5128</v>
      </c>
      <c r="H180">
        <v>0</v>
      </c>
      <c r="I180">
        <v>143</v>
      </c>
      <c r="J180">
        <v>360</v>
      </c>
      <c r="K180">
        <v>1</v>
      </c>
      <c r="L180" t="s">
        <v>32</v>
      </c>
      <c r="M180">
        <v>5128</v>
      </c>
      <c r="N180">
        <v>2.788611544461778E-2</v>
      </c>
      <c r="O180" t="s">
        <v>21</v>
      </c>
    </row>
    <row r="181" spans="1:15" x14ac:dyDescent="0.35">
      <c r="A181" t="s">
        <v>206</v>
      </c>
      <c r="B181" t="s">
        <v>16</v>
      </c>
      <c r="C181" t="s">
        <v>17</v>
      </c>
      <c r="D181" t="s">
        <v>39</v>
      </c>
      <c r="E181" t="s">
        <v>18</v>
      </c>
      <c r="F181" t="s">
        <v>19</v>
      </c>
      <c r="G181">
        <v>15312</v>
      </c>
      <c r="H181">
        <v>0</v>
      </c>
      <c r="I181">
        <v>187</v>
      </c>
      <c r="J181">
        <v>360</v>
      </c>
      <c r="K181">
        <v>1</v>
      </c>
      <c r="L181" t="s">
        <v>20</v>
      </c>
      <c r="M181">
        <v>15312</v>
      </c>
      <c r="N181">
        <v>1.221264367816092E-2</v>
      </c>
      <c r="O181" t="s">
        <v>21</v>
      </c>
    </row>
    <row r="182" spans="1:15" x14ac:dyDescent="0.35">
      <c r="A182" t="s">
        <v>207</v>
      </c>
      <c r="B182" t="s">
        <v>16</v>
      </c>
      <c r="C182" t="s">
        <v>17</v>
      </c>
      <c r="D182">
        <v>2</v>
      </c>
      <c r="E182" t="s">
        <v>18</v>
      </c>
      <c r="F182" t="s">
        <v>19</v>
      </c>
      <c r="G182">
        <v>3958</v>
      </c>
      <c r="H182">
        <v>2632</v>
      </c>
      <c r="I182">
        <v>160</v>
      </c>
      <c r="J182">
        <v>360</v>
      </c>
      <c r="K182">
        <v>1</v>
      </c>
      <c r="L182" t="s">
        <v>30</v>
      </c>
      <c r="M182">
        <v>6590</v>
      </c>
      <c r="N182">
        <v>2.4279210925644921E-2</v>
      </c>
      <c r="O182" t="s">
        <v>21</v>
      </c>
    </row>
    <row r="183" spans="1:15" x14ac:dyDescent="0.35">
      <c r="A183" t="s">
        <v>208</v>
      </c>
      <c r="B183" t="s">
        <v>16</v>
      </c>
      <c r="C183" t="s">
        <v>17</v>
      </c>
      <c r="D183">
        <v>0</v>
      </c>
      <c r="E183" t="s">
        <v>18</v>
      </c>
      <c r="F183" t="s">
        <v>19</v>
      </c>
      <c r="G183">
        <v>4334</v>
      </c>
      <c r="H183">
        <v>2945</v>
      </c>
      <c r="I183">
        <v>165</v>
      </c>
      <c r="J183">
        <v>360</v>
      </c>
      <c r="K183">
        <v>1</v>
      </c>
      <c r="L183" t="s">
        <v>30</v>
      </c>
      <c r="M183">
        <v>7279</v>
      </c>
      <c r="N183">
        <v>2.266794889407886E-2</v>
      </c>
      <c r="O183" t="s">
        <v>21</v>
      </c>
    </row>
    <row r="184" spans="1:15" x14ac:dyDescent="0.35">
      <c r="A184" t="s">
        <v>209</v>
      </c>
      <c r="B184" t="s">
        <v>16</v>
      </c>
      <c r="C184" t="s">
        <v>17</v>
      </c>
      <c r="D184">
        <v>2</v>
      </c>
      <c r="E184" t="s">
        <v>18</v>
      </c>
      <c r="F184" t="s">
        <v>19</v>
      </c>
      <c r="G184">
        <v>4358</v>
      </c>
      <c r="H184">
        <v>0</v>
      </c>
      <c r="I184">
        <v>110</v>
      </c>
      <c r="J184">
        <v>360</v>
      </c>
      <c r="K184">
        <v>1</v>
      </c>
      <c r="L184" t="s">
        <v>20</v>
      </c>
      <c r="M184">
        <v>4358</v>
      </c>
      <c r="N184">
        <v>2.5240936209270311E-2</v>
      </c>
      <c r="O184" t="s">
        <v>21</v>
      </c>
    </row>
    <row r="185" spans="1:15" x14ac:dyDescent="0.35">
      <c r="A185" t="s">
        <v>210</v>
      </c>
      <c r="B185" t="s">
        <v>29</v>
      </c>
      <c r="C185" t="s">
        <v>17</v>
      </c>
      <c r="D185">
        <v>1</v>
      </c>
      <c r="E185" t="s">
        <v>18</v>
      </c>
      <c r="F185" t="s">
        <v>19</v>
      </c>
      <c r="G185">
        <v>4000</v>
      </c>
      <c r="H185">
        <v>3917</v>
      </c>
      <c r="I185">
        <v>173</v>
      </c>
      <c r="J185">
        <v>360</v>
      </c>
      <c r="K185">
        <v>1</v>
      </c>
      <c r="L185" t="s">
        <v>32</v>
      </c>
      <c r="M185">
        <v>7917</v>
      </c>
      <c r="N185">
        <v>2.185171150688392E-2</v>
      </c>
      <c r="O185" t="s">
        <v>21</v>
      </c>
    </row>
    <row r="186" spans="1:15" x14ac:dyDescent="0.35">
      <c r="A186" t="s">
        <v>211</v>
      </c>
      <c r="B186" t="s">
        <v>16</v>
      </c>
      <c r="C186" t="s">
        <v>17</v>
      </c>
      <c r="D186" t="s">
        <v>39</v>
      </c>
      <c r="E186" t="s">
        <v>18</v>
      </c>
      <c r="F186" t="s">
        <v>19</v>
      </c>
      <c r="G186">
        <v>10166</v>
      </c>
      <c r="H186">
        <v>750</v>
      </c>
      <c r="I186">
        <v>150</v>
      </c>
      <c r="J186">
        <v>360</v>
      </c>
      <c r="K186">
        <v>1</v>
      </c>
      <c r="L186" t="s">
        <v>20</v>
      </c>
      <c r="M186">
        <v>10916</v>
      </c>
      <c r="N186">
        <v>1.3741297178453651E-2</v>
      </c>
      <c r="O186" t="s">
        <v>21</v>
      </c>
    </row>
    <row r="187" spans="1:15" x14ac:dyDescent="0.35">
      <c r="A187" t="s">
        <v>212</v>
      </c>
      <c r="B187" t="s">
        <v>16</v>
      </c>
      <c r="C187" t="s">
        <v>17</v>
      </c>
      <c r="D187">
        <v>0</v>
      </c>
      <c r="E187" t="s">
        <v>26</v>
      </c>
      <c r="F187" t="s">
        <v>19</v>
      </c>
      <c r="G187">
        <v>4483</v>
      </c>
      <c r="H187">
        <v>0</v>
      </c>
      <c r="I187">
        <v>135</v>
      </c>
      <c r="J187">
        <v>360</v>
      </c>
      <c r="K187">
        <v>1</v>
      </c>
      <c r="L187" t="s">
        <v>30</v>
      </c>
      <c r="M187">
        <v>4483</v>
      </c>
      <c r="N187">
        <v>3.0113763105063571E-2</v>
      </c>
      <c r="O187" t="s">
        <v>21</v>
      </c>
    </row>
    <row r="188" spans="1:15" x14ac:dyDescent="0.35">
      <c r="A188" t="s">
        <v>213</v>
      </c>
      <c r="B188" t="s">
        <v>16</v>
      </c>
      <c r="C188" t="s">
        <v>17</v>
      </c>
      <c r="D188">
        <v>2</v>
      </c>
      <c r="E188" t="s">
        <v>26</v>
      </c>
      <c r="F188" t="s">
        <v>19</v>
      </c>
      <c r="G188">
        <v>4521</v>
      </c>
      <c r="H188">
        <v>1184</v>
      </c>
      <c r="I188">
        <v>150</v>
      </c>
      <c r="J188">
        <v>360</v>
      </c>
      <c r="K188">
        <v>1</v>
      </c>
      <c r="L188" t="s">
        <v>30</v>
      </c>
      <c r="M188">
        <v>5705</v>
      </c>
      <c r="N188">
        <v>2.6292725679228749E-2</v>
      </c>
      <c r="O188" t="s">
        <v>21</v>
      </c>
    </row>
    <row r="189" spans="1:15" x14ac:dyDescent="0.35">
      <c r="A189" t="s">
        <v>214</v>
      </c>
      <c r="B189" t="s">
        <v>16</v>
      </c>
      <c r="C189" t="s">
        <v>17</v>
      </c>
      <c r="D189">
        <v>2</v>
      </c>
      <c r="E189" t="s">
        <v>18</v>
      </c>
      <c r="F189" t="s">
        <v>19</v>
      </c>
      <c r="G189">
        <v>9167</v>
      </c>
      <c r="H189">
        <v>0</v>
      </c>
      <c r="I189">
        <v>235</v>
      </c>
      <c r="J189">
        <v>360</v>
      </c>
      <c r="K189">
        <v>1</v>
      </c>
      <c r="L189" t="s">
        <v>30</v>
      </c>
      <c r="M189">
        <v>9167</v>
      </c>
      <c r="N189">
        <v>2.5635431438856771E-2</v>
      </c>
      <c r="O189" t="s">
        <v>21</v>
      </c>
    </row>
    <row r="190" spans="1:15" x14ac:dyDescent="0.35">
      <c r="A190" t="s">
        <v>215</v>
      </c>
      <c r="B190" t="s">
        <v>16</v>
      </c>
      <c r="C190" t="s">
        <v>17</v>
      </c>
      <c r="D190">
        <v>0</v>
      </c>
      <c r="E190" t="s">
        <v>26</v>
      </c>
      <c r="F190" t="s">
        <v>19</v>
      </c>
      <c r="G190">
        <v>13083</v>
      </c>
      <c r="H190">
        <v>0</v>
      </c>
      <c r="I190">
        <v>125</v>
      </c>
      <c r="J190">
        <v>360</v>
      </c>
      <c r="K190">
        <v>1</v>
      </c>
      <c r="L190" t="s">
        <v>32</v>
      </c>
      <c r="M190">
        <v>13083</v>
      </c>
      <c r="N190">
        <v>9.5543835511732785E-3</v>
      </c>
      <c r="O190" t="s">
        <v>21</v>
      </c>
    </row>
    <row r="191" spans="1:15" x14ac:dyDescent="0.35">
      <c r="A191" t="s">
        <v>216</v>
      </c>
      <c r="B191" t="s">
        <v>16</v>
      </c>
      <c r="C191" t="s">
        <v>17</v>
      </c>
      <c r="D191">
        <v>2</v>
      </c>
      <c r="E191" t="s">
        <v>18</v>
      </c>
      <c r="F191" t="s">
        <v>19</v>
      </c>
      <c r="G191">
        <v>7874</v>
      </c>
      <c r="H191">
        <v>3967</v>
      </c>
      <c r="I191">
        <v>336</v>
      </c>
      <c r="J191">
        <v>360</v>
      </c>
      <c r="K191">
        <v>1</v>
      </c>
      <c r="L191" t="s">
        <v>32</v>
      </c>
      <c r="M191">
        <v>11841</v>
      </c>
      <c r="N191">
        <v>2.837598175829744E-2</v>
      </c>
      <c r="O191" t="s">
        <v>21</v>
      </c>
    </row>
    <row r="192" spans="1:15" x14ac:dyDescent="0.35">
      <c r="A192" t="s">
        <v>217</v>
      </c>
      <c r="B192" t="s">
        <v>29</v>
      </c>
      <c r="C192" t="s">
        <v>17</v>
      </c>
      <c r="D192">
        <v>1</v>
      </c>
      <c r="E192" t="s">
        <v>18</v>
      </c>
      <c r="F192" t="s">
        <v>19</v>
      </c>
      <c r="G192">
        <v>4333</v>
      </c>
      <c r="H192">
        <v>0</v>
      </c>
      <c r="I192">
        <v>132</v>
      </c>
      <c r="J192">
        <v>84</v>
      </c>
      <c r="K192">
        <v>1</v>
      </c>
      <c r="L192" t="s">
        <v>32</v>
      </c>
      <c r="M192">
        <v>4333</v>
      </c>
      <c r="N192">
        <v>3.0463881837064392E-2</v>
      </c>
      <c r="O192" t="s">
        <v>21</v>
      </c>
    </row>
    <row r="193" spans="1:15" x14ac:dyDescent="0.35">
      <c r="A193" t="s">
        <v>218</v>
      </c>
      <c r="B193" t="s">
        <v>16</v>
      </c>
      <c r="C193" t="s">
        <v>19</v>
      </c>
      <c r="D193">
        <v>0</v>
      </c>
      <c r="E193" t="s">
        <v>18</v>
      </c>
      <c r="F193" t="s">
        <v>19</v>
      </c>
      <c r="G193">
        <v>4083</v>
      </c>
      <c r="H193">
        <v>0</v>
      </c>
      <c r="I193">
        <v>96</v>
      </c>
      <c r="J193">
        <v>360</v>
      </c>
      <c r="K193">
        <v>1</v>
      </c>
      <c r="L193" t="s">
        <v>20</v>
      </c>
      <c r="M193">
        <v>4083</v>
      </c>
      <c r="N193">
        <v>2.3512123438648051E-2</v>
      </c>
      <c r="O193" t="s">
        <v>21</v>
      </c>
    </row>
    <row r="194" spans="1:15" x14ac:dyDescent="0.35">
      <c r="A194" t="s">
        <v>219</v>
      </c>
      <c r="B194" t="s">
        <v>16</v>
      </c>
      <c r="C194" t="s">
        <v>17</v>
      </c>
      <c r="D194">
        <v>2</v>
      </c>
      <c r="E194" t="s">
        <v>26</v>
      </c>
      <c r="F194" t="s">
        <v>19</v>
      </c>
      <c r="G194">
        <v>3785</v>
      </c>
      <c r="H194">
        <v>2912</v>
      </c>
      <c r="I194">
        <v>180</v>
      </c>
      <c r="J194">
        <v>360</v>
      </c>
      <c r="K194">
        <v>0</v>
      </c>
      <c r="L194" t="s">
        <v>32</v>
      </c>
      <c r="M194">
        <v>6697</v>
      </c>
      <c r="N194">
        <v>2.6877706435717481E-2</v>
      </c>
      <c r="O194" t="s">
        <v>33</v>
      </c>
    </row>
    <row r="195" spans="1:15" x14ac:dyDescent="0.35">
      <c r="A195" t="s">
        <v>220</v>
      </c>
      <c r="B195" t="s">
        <v>16</v>
      </c>
      <c r="C195" t="s">
        <v>17</v>
      </c>
      <c r="D195" t="s">
        <v>39</v>
      </c>
      <c r="E195" t="s">
        <v>26</v>
      </c>
      <c r="F195" t="s">
        <v>19</v>
      </c>
      <c r="G195">
        <v>2654</v>
      </c>
      <c r="H195">
        <v>1998</v>
      </c>
      <c r="I195">
        <v>128</v>
      </c>
      <c r="J195">
        <v>360</v>
      </c>
      <c r="K195">
        <v>0</v>
      </c>
      <c r="L195" t="s">
        <v>32</v>
      </c>
      <c r="M195">
        <v>4652</v>
      </c>
      <c r="N195">
        <v>2.7515047291487529E-2</v>
      </c>
      <c r="O195" t="s">
        <v>33</v>
      </c>
    </row>
    <row r="196" spans="1:15" x14ac:dyDescent="0.35">
      <c r="A196" t="s">
        <v>221</v>
      </c>
      <c r="B196" t="s">
        <v>16</v>
      </c>
      <c r="C196" t="s">
        <v>17</v>
      </c>
      <c r="D196">
        <v>1</v>
      </c>
      <c r="E196" t="s">
        <v>18</v>
      </c>
      <c r="F196" t="s">
        <v>19</v>
      </c>
      <c r="G196">
        <v>10000</v>
      </c>
      <c r="H196">
        <v>2690</v>
      </c>
      <c r="I196">
        <v>412</v>
      </c>
      <c r="J196">
        <v>360</v>
      </c>
      <c r="K196">
        <v>1</v>
      </c>
      <c r="L196" t="s">
        <v>30</v>
      </c>
      <c r="M196">
        <v>12690</v>
      </c>
      <c r="N196">
        <v>3.2466509062253741E-2</v>
      </c>
      <c r="O196" t="s">
        <v>21</v>
      </c>
    </row>
    <row r="197" spans="1:15" x14ac:dyDescent="0.35">
      <c r="A197" t="s">
        <v>222</v>
      </c>
      <c r="B197" t="s">
        <v>16</v>
      </c>
      <c r="C197" t="s">
        <v>19</v>
      </c>
      <c r="D197">
        <v>0</v>
      </c>
      <c r="E197" t="s">
        <v>18</v>
      </c>
      <c r="F197" t="s">
        <v>17</v>
      </c>
      <c r="G197">
        <v>5833</v>
      </c>
      <c r="H197">
        <v>0</v>
      </c>
      <c r="I197">
        <v>116</v>
      </c>
      <c r="J197">
        <v>360</v>
      </c>
      <c r="K197">
        <v>1</v>
      </c>
      <c r="L197" t="s">
        <v>20</v>
      </c>
      <c r="M197">
        <v>5833</v>
      </c>
      <c r="N197">
        <v>1.9886850677181551E-2</v>
      </c>
      <c r="O197" t="s">
        <v>21</v>
      </c>
    </row>
    <row r="198" spans="1:15" x14ac:dyDescent="0.35">
      <c r="A198" t="s">
        <v>223</v>
      </c>
      <c r="B198" t="s">
        <v>16</v>
      </c>
      <c r="C198" t="s">
        <v>17</v>
      </c>
      <c r="D198">
        <v>1</v>
      </c>
      <c r="E198" t="s">
        <v>18</v>
      </c>
      <c r="F198" t="s">
        <v>19</v>
      </c>
      <c r="G198">
        <v>4796</v>
      </c>
      <c r="H198">
        <v>0</v>
      </c>
      <c r="I198">
        <v>114</v>
      </c>
      <c r="J198">
        <v>360</v>
      </c>
      <c r="K198">
        <v>0</v>
      </c>
      <c r="L198" t="s">
        <v>30</v>
      </c>
      <c r="M198">
        <v>4796</v>
      </c>
      <c r="N198">
        <v>2.3769808173477899E-2</v>
      </c>
      <c r="O198" t="s">
        <v>33</v>
      </c>
    </row>
    <row r="199" spans="1:15" x14ac:dyDescent="0.35">
      <c r="A199" t="s">
        <v>224</v>
      </c>
      <c r="B199" t="s">
        <v>16</v>
      </c>
      <c r="C199" t="s">
        <v>17</v>
      </c>
      <c r="D199">
        <v>0</v>
      </c>
      <c r="E199" t="s">
        <v>26</v>
      </c>
      <c r="F199" t="s">
        <v>19</v>
      </c>
      <c r="G199">
        <v>2000</v>
      </c>
      <c r="H199">
        <v>1600</v>
      </c>
      <c r="I199">
        <v>115</v>
      </c>
      <c r="J199">
        <v>360</v>
      </c>
      <c r="K199">
        <v>1</v>
      </c>
      <c r="L199" t="s">
        <v>32</v>
      </c>
      <c r="M199">
        <v>3600</v>
      </c>
      <c r="N199">
        <v>3.1944444444444442E-2</v>
      </c>
      <c r="O199" t="s">
        <v>21</v>
      </c>
    </row>
    <row r="200" spans="1:15" x14ac:dyDescent="0.35">
      <c r="A200" t="s">
        <v>225</v>
      </c>
      <c r="B200" t="s">
        <v>16</v>
      </c>
      <c r="C200" t="s">
        <v>17</v>
      </c>
      <c r="D200">
        <v>2</v>
      </c>
      <c r="E200" t="s">
        <v>18</v>
      </c>
      <c r="F200" t="s">
        <v>19</v>
      </c>
      <c r="G200">
        <v>2540</v>
      </c>
      <c r="H200">
        <v>700</v>
      </c>
      <c r="I200">
        <v>104</v>
      </c>
      <c r="J200">
        <v>360</v>
      </c>
      <c r="K200">
        <v>0</v>
      </c>
      <c r="L200" t="s">
        <v>20</v>
      </c>
      <c r="M200">
        <v>3240</v>
      </c>
      <c r="N200">
        <v>3.2098765432098768E-2</v>
      </c>
      <c r="O200" t="s">
        <v>33</v>
      </c>
    </row>
    <row r="201" spans="1:15" x14ac:dyDescent="0.35">
      <c r="A201" t="s">
        <v>226</v>
      </c>
      <c r="B201" t="s">
        <v>16</v>
      </c>
      <c r="C201" t="s">
        <v>17</v>
      </c>
      <c r="D201">
        <v>0</v>
      </c>
      <c r="E201" t="s">
        <v>18</v>
      </c>
      <c r="F201" t="s">
        <v>17</v>
      </c>
      <c r="G201">
        <v>1900</v>
      </c>
      <c r="H201">
        <v>1442</v>
      </c>
      <c r="I201">
        <v>88</v>
      </c>
      <c r="J201">
        <v>360</v>
      </c>
      <c r="K201">
        <v>1</v>
      </c>
      <c r="L201" t="s">
        <v>32</v>
      </c>
      <c r="M201">
        <v>3342</v>
      </c>
      <c r="N201">
        <v>2.6331538001196891E-2</v>
      </c>
      <c r="O201" t="s">
        <v>21</v>
      </c>
    </row>
    <row r="202" spans="1:15" x14ac:dyDescent="0.35">
      <c r="A202" t="s">
        <v>227</v>
      </c>
      <c r="B202" t="s">
        <v>16</v>
      </c>
      <c r="C202" t="s">
        <v>17</v>
      </c>
      <c r="D202">
        <v>0</v>
      </c>
      <c r="E202" t="s">
        <v>18</v>
      </c>
      <c r="F202" t="s">
        <v>17</v>
      </c>
      <c r="G202">
        <v>8706</v>
      </c>
      <c r="H202">
        <v>0</v>
      </c>
      <c r="I202">
        <v>108</v>
      </c>
      <c r="J202">
        <v>480</v>
      </c>
      <c r="K202">
        <v>1</v>
      </c>
      <c r="L202" t="s">
        <v>32</v>
      </c>
      <c r="M202">
        <v>8706</v>
      </c>
      <c r="N202">
        <v>1.24052377670572E-2</v>
      </c>
      <c r="O202" t="s">
        <v>21</v>
      </c>
    </row>
    <row r="203" spans="1:15" x14ac:dyDescent="0.35">
      <c r="A203" t="s">
        <v>228</v>
      </c>
      <c r="B203" t="s">
        <v>16</v>
      </c>
      <c r="C203" t="s">
        <v>17</v>
      </c>
      <c r="D203" t="s">
        <v>39</v>
      </c>
      <c r="E203" t="s">
        <v>26</v>
      </c>
      <c r="F203" t="s">
        <v>19</v>
      </c>
      <c r="G203">
        <v>2855</v>
      </c>
      <c r="H203">
        <v>542</v>
      </c>
      <c r="I203">
        <v>90</v>
      </c>
      <c r="J203">
        <v>360</v>
      </c>
      <c r="K203">
        <v>1</v>
      </c>
      <c r="L203" t="s">
        <v>20</v>
      </c>
      <c r="M203">
        <v>3397</v>
      </c>
      <c r="N203">
        <v>2.649396526346777E-2</v>
      </c>
      <c r="O203" t="s">
        <v>21</v>
      </c>
    </row>
    <row r="204" spans="1:15" x14ac:dyDescent="0.35">
      <c r="A204" t="s">
        <v>229</v>
      </c>
      <c r="B204" t="s">
        <v>16</v>
      </c>
      <c r="C204" t="s">
        <v>17</v>
      </c>
      <c r="D204">
        <v>0</v>
      </c>
      <c r="E204" t="s">
        <v>18</v>
      </c>
      <c r="F204" t="s">
        <v>19</v>
      </c>
      <c r="G204">
        <v>3016</v>
      </c>
      <c r="H204">
        <v>1300</v>
      </c>
      <c r="I204">
        <v>100</v>
      </c>
      <c r="J204">
        <v>360</v>
      </c>
      <c r="K204">
        <v>1</v>
      </c>
      <c r="L204" t="s">
        <v>20</v>
      </c>
      <c r="M204">
        <v>4316</v>
      </c>
      <c r="N204">
        <v>2.3169601482854491E-2</v>
      </c>
      <c r="O204" t="s">
        <v>21</v>
      </c>
    </row>
    <row r="205" spans="1:15" x14ac:dyDescent="0.35">
      <c r="A205" t="s">
        <v>230</v>
      </c>
      <c r="B205" t="s">
        <v>29</v>
      </c>
      <c r="C205" t="s">
        <v>17</v>
      </c>
      <c r="D205">
        <v>0</v>
      </c>
      <c r="E205" t="s">
        <v>18</v>
      </c>
      <c r="F205" t="s">
        <v>19</v>
      </c>
      <c r="G205">
        <v>3159</v>
      </c>
      <c r="H205">
        <v>2374</v>
      </c>
      <c r="I205">
        <v>108</v>
      </c>
      <c r="J205">
        <v>360</v>
      </c>
      <c r="K205">
        <v>1</v>
      </c>
      <c r="L205" t="s">
        <v>30</v>
      </c>
      <c r="M205">
        <v>5533</v>
      </c>
      <c r="N205">
        <v>1.9519248147478761E-2</v>
      </c>
      <c r="O205" t="s">
        <v>21</v>
      </c>
    </row>
    <row r="206" spans="1:15" x14ac:dyDescent="0.35">
      <c r="A206" t="s">
        <v>231</v>
      </c>
      <c r="B206" t="s">
        <v>29</v>
      </c>
      <c r="C206" t="s">
        <v>19</v>
      </c>
      <c r="D206">
        <v>0</v>
      </c>
      <c r="E206" t="s">
        <v>18</v>
      </c>
      <c r="F206" t="s">
        <v>19</v>
      </c>
      <c r="G206">
        <v>1937</v>
      </c>
      <c r="H206">
        <v>1152</v>
      </c>
      <c r="I206">
        <v>78</v>
      </c>
      <c r="J206">
        <v>360</v>
      </c>
      <c r="K206">
        <v>1</v>
      </c>
      <c r="L206" t="s">
        <v>30</v>
      </c>
      <c r="M206">
        <v>3089</v>
      </c>
      <c r="N206">
        <v>2.52508902557462E-2</v>
      </c>
      <c r="O206" t="s">
        <v>21</v>
      </c>
    </row>
    <row r="207" spans="1:15" x14ac:dyDescent="0.35">
      <c r="A207" t="s">
        <v>232</v>
      </c>
      <c r="B207" t="s">
        <v>16</v>
      </c>
      <c r="C207" t="s">
        <v>17</v>
      </c>
      <c r="D207">
        <v>0</v>
      </c>
      <c r="E207" t="s">
        <v>18</v>
      </c>
      <c r="F207" t="s">
        <v>19</v>
      </c>
      <c r="G207">
        <v>2613</v>
      </c>
      <c r="H207">
        <v>2417</v>
      </c>
      <c r="I207">
        <v>123</v>
      </c>
      <c r="J207">
        <v>360</v>
      </c>
      <c r="K207">
        <v>1</v>
      </c>
      <c r="L207" t="s">
        <v>30</v>
      </c>
      <c r="M207">
        <v>5030</v>
      </c>
      <c r="N207">
        <v>2.445328031809145E-2</v>
      </c>
      <c r="O207" t="s">
        <v>21</v>
      </c>
    </row>
    <row r="208" spans="1:15" x14ac:dyDescent="0.35">
      <c r="A208" t="s">
        <v>233</v>
      </c>
      <c r="B208" t="s">
        <v>16</v>
      </c>
      <c r="C208" t="s">
        <v>17</v>
      </c>
      <c r="D208">
        <v>1</v>
      </c>
      <c r="E208" t="s">
        <v>18</v>
      </c>
      <c r="F208" t="s">
        <v>19</v>
      </c>
      <c r="G208">
        <v>4960</v>
      </c>
      <c r="H208">
        <v>2600</v>
      </c>
      <c r="I208">
        <v>187</v>
      </c>
      <c r="J208">
        <v>360</v>
      </c>
      <c r="K208">
        <v>1</v>
      </c>
      <c r="L208" t="s">
        <v>30</v>
      </c>
      <c r="M208">
        <v>7560</v>
      </c>
      <c r="N208">
        <v>2.4735449735449739E-2</v>
      </c>
      <c r="O208" t="s">
        <v>21</v>
      </c>
    </row>
    <row r="209" spans="1:15" x14ac:dyDescent="0.35">
      <c r="A209" t="s">
        <v>234</v>
      </c>
      <c r="B209" t="s">
        <v>16</v>
      </c>
      <c r="C209" t="s">
        <v>17</v>
      </c>
      <c r="D209">
        <v>1</v>
      </c>
      <c r="E209" t="s">
        <v>18</v>
      </c>
      <c r="F209" t="s">
        <v>19</v>
      </c>
      <c r="G209">
        <v>3074</v>
      </c>
      <c r="H209">
        <v>1083</v>
      </c>
      <c r="I209">
        <v>146</v>
      </c>
      <c r="J209">
        <v>360</v>
      </c>
      <c r="K209">
        <v>1</v>
      </c>
      <c r="L209" t="s">
        <v>30</v>
      </c>
      <c r="M209">
        <v>4157</v>
      </c>
      <c r="N209">
        <v>3.5121481837863837E-2</v>
      </c>
      <c r="O209" t="s">
        <v>21</v>
      </c>
    </row>
    <row r="210" spans="1:15" x14ac:dyDescent="0.35">
      <c r="A210" t="s">
        <v>235</v>
      </c>
      <c r="B210" t="s">
        <v>29</v>
      </c>
      <c r="C210" t="s">
        <v>19</v>
      </c>
      <c r="D210">
        <v>0</v>
      </c>
      <c r="E210" t="s">
        <v>18</v>
      </c>
      <c r="F210" t="s">
        <v>19</v>
      </c>
      <c r="G210">
        <v>4213</v>
      </c>
      <c r="H210">
        <v>0</v>
      </c>
      <c r="I210">
        <v>80</v>
      </c>
      <c r="J210">
        <v>360</v>
      </c>
      <c r="K210">
        <v>1</v>
      </c>
      <c r="L210" t="s">
        <v>20</v>
      </c>
      <c r="M210">
        <v>4213</v>
      </c>
      <c r="N210">
        <v>1.8988844054118201E-2</v>
      </c>
      <c r="O210" t="s">
        <v>21</v>
      </c>
    </row>
    <row r="211" spans="1:15" x14ac:dyDescent="0.35">
      <c r="A211" t="s">
        <v>236</v>
      </c>
      <c r="B211" t="s">
        <v>16</v>
      </c>
      <c r="C211" t="s">
        <v>19</v>
      </c>
      <c r="D211">
        <v>1</v>
      </c>
      <c r="E211" t="s">
        <v>26</v>
      </c>
      <c r="F211" t="s">
        <v>19</v>
      </c>
      <c r="G211">
        <v>2038</v>
      </c>
      <c r="H211">
        <v>4027</v>
      </c>
      <c r="I211">
        <v>100</v>
      </c>
      <c r="J211">
        <v>360</v>
      </c>
      <c r="K211">
        <v>1</v>
      </c>
      <c r="L211" t="s">
        <v>32</v>
      </c>
      <c r="M211">
        <v>6065</v>
      </c>
      <c r="N211">
        <v>1.6488046166529269E-2</v>
      </c>
      <c r="O211" t="s">
        <v>21</v>
      </c>
    </row>
    <row r="212" spans="1:15" x14ac:dyDescent="0.35">
      <c r="A212" t="s">
        <v>237</v>
      </c>
      <c r="B212" t="s">
        <v>29</v>
      </c>
      <c r="C212" t="s">
        <v>19</v>
      </c>
      <c r="D212">
        <v>0</v>
      </c>
      <c r="E212" t="s">
        <v>18</v>
      </c>
      <c r="F212" t="s">
        <v>19</v>
      </c>
      <c r="G212">
        <v>2362</v>
      </c>
      <c r="H212">
        <v>0</v>
      </c>
      <c r="I212">
        <v>55</v>
      </c>
      <c r="J212">
        <v>360</v>
      </c>
      <c r="K212">
        <v>1</v>
      </c>
      <c r="L212" t="s">
        <v>20</v>
      </c>
      <c r="M212">
        <v>2362</v>
      </c>
      <c r="N212">
        <v>2.3285351397121089E-2</v>
      </c>
      <c r="O212" t="s">
        <v>21</v>
      </c>
    </row>
    <row r="213" spans="1:15" x14ac:dyDescent="0.35">
      <c r="A213" t="s">
        <v>238</v>
      </c>
      <c r="B213" t="s">
        <v>16</v>
      </c>
      <c r="C213" t="s">
        <v>19</v>
      </c>
      <c r="D213">
        <v>0</v>
      </c>
      <c r="E213" t="s">
        <v>18</v>
      </c>
      <c r="F213" t="s">
        <v>19</v>
      </c>
      <c r="G213">
        <v>5333</v>
      </c>
      <c r="H213">
        <v>2400</v>
      </c>
      <c r="I213">
        <v>200</v>
      </c>
      <c r="J213">
        <v>360</v>
      </c>
      <c r="K213">
        <v>0</v>
      </c>
      <c r="L213" t="s">
        <v>32</v>
      </c>
      <c r="M213">
        <v>7733</v>
      </c>
      <c r="N213">
        <v>2.5863183757920599E-2</v>
      </c>
      <c r="O213" t="s">
        <v>33</v>
      </c>
    </row>
    <row r="214" spans="1:15" x14ac:dyDescent="0.35">
      <c r="A214" t="s">
        <v>239</v>
      </c>
      <c r="B214" t="s">
        <v>16</v>
      </c>
      <c r="C214" t="s">
        <v>17</v>
      </c>
      <c r="D214" t="s">
        <v>39</v>
      </c>
      <c r="E214" t="s">
        <v>18</v>
      </c>
      <c r="F214" t="s">
        <v>17</v>
      </c>
      <c r="G214">
        <v>5384</v>
      </c>
      <c r="H214">
        <v>0</v>
      </c>
      <c r="I214">
        <v>150</v>
      </c>
      <c r="J214">
        <v>360</v>
      </c>
      <c r="K214">
        <v>1</v>
      </c>
      <c r="L214" t="s">
        <v>30</v>
      </c>
      <c r="M214">
        <v>5384</v>
      </c>
      <c r="N214">
        <v>2.786032689450223E-2</v>
      </c>
      <c r="O214" t="s">
        <v>21</v>
      </c>
    </row>
    <row r="215" spans="1:15" x14ac:dyDescent="0.35">
      <c r="A215" t="s">
        <v>240</v>
      </c>
      <c r="B215" t="s">
        <v>16</v>
      </c>
      <c r="C215" t="s">
        <v>19</v>
      </c>
      <c r="D215">
        <v>0</v>
      </c>
      <c r="E215" t="s">
        <v>18</v>
      </c>
      <c r="F215" t="s">
        <v>19</v>
      </c>
      <c r="G215">
        <v>5708</v>
      </c>
      <c r="H215">
        <v>0</v>
      </c>
      <c r="I215">
        <v>150</v>
      </c>
      <c r="J215">
        <v>360</v>
      </c>
      <c r="K215">
        <v>1</v>
      </c>
      <c r="L215" t="s">
        <v>32</v>
      </c>
      <c r="M215">
        <v>5708</v>
      </c>
      <c r="N215">
        <v>2.6278906797477221E-2</v>
      </c>
      <c r="O215" t="s">
        <v>21</v>
      </c>
    </row>
    <row r="216" spans="1:15" x14ac:dyDescent="0.35">
      <c r="A216" t="s">
        <v>241</v>
      </c>
      <c r="B216" t="s">
        <v>16</v>
      </c>
      <c r="C216" t="s">
        <v>17</v>
      </c>
      <c r="D216">
        <v>0</v>
      </c>
      <c r="E216" t="s">
        <v>26</v>
      </c>
      <c r="F216" t="s">
        <v>19</v>
      </c>
      <c r="G216">
        <v>3754</v>
      </c>
      <c r="H216">
        <v>3719</v>
      </c>
      <c r="I216">
        <v>118</v>
      </c>
      <c r="J216">
        <v>360</v>
      </c>
      <c r="K216">
        <v>1</v>
      </c>
      <c r="L216" t="s">
        <v>32</v>
      </c>
      <c r="M216">
        <v>7473</v>
      </c>
      <c r="N216">
        <v>1.5790177974039879E-2</v>
      </c>
      <c r="O216" t="s">
        <v>21</v>
      </c>
    </row>
    <row r="217" spans="1:15" x14ac:dyDescent="0.35">
      <c r="A217" t="s">
        <v>242</v>
      </c>
      <c r="B217" t="s">
        <v>16</v>
      </c>
      <c r="C217" t="s">
        <v>17</v>
      </c>
      <c r="D217">
        <v>0</v>
      </c>
      <c r="E217" t="s">
        <v>26</v>
      </c>
      <c r="F217" t="s">
        <v>19</v>
      </c>
      <c r="G217">
        <v>2914</v>
      </c>
      <c r="H217">
        <v>2130</v>
      </c>
      <c r="I217">
        <v>150</v>
      </c>
      <c r="J217">
        <v>300</v>
      </c>
      <c r="K217">
        <v>1</v>
      </c>
      <c r="L217" t="s">
        <v>20</v>
      </c>
      <c r="M217">
        <v>5044</v>
      </c>
      <c r="N217">
        <v>2.9738302934179221E-2</v>
      </c>
      <c r="O217" t="s">
        <v>21</v>
      </c>
    </row>
    <row r="218" spans="1:15" x14ac:dyDescent="0.35">
      <c r="A218" t="s">
        <v>243</v>
      </c>
      <c r="B218" t="s">
        <v>16</v>
      </c>
      <c r="C218" t="s">
        <v>17</v>
      </c>
      <c r="D218">
        <v>0</v>
      </c>
      <c r="E218" t="s">
        <v>26</v>
      </c>
      <c r="F218" t="s">
        <v>19</v>
      </c>
      <c r="G218">
        <v>2747</v>
      </c>
      <c r="H218">
        <v>2458</v>
      </c>
      <c r="I218">
        <v>118</v>
      </c>
      <c r="J218">
        <v>36</v>
      </c>
      <c r="K218">
        <v>1</v>
      </c>
      <c r="L218" t="s">
        <v>30</v>
      </c>
      <c r="M218">
        <v>5205</v>
      </c>
      <c r="N218">
        <v>2.2670509125840541E-2</v>
      </c>
      <c r="O218" t="s">
        <v>21</v>
      </c>
    </row>
    <row r="219" spans="1:15" x14ac:dyDescent="0.35">
      <c r="A219" t="s">
        <v>244</v>
      </c>
      <c r="B219" t="s">
        <v>16</v>
      </c>
      <c r="C219" t="s">
        <v>17</v>
      </c>
      <c r="D219">
        <v>0</v>
      </c>
      <c r="E219" t="s">
        <v>18</v>
      </c>
      <c r="F219" t="s">
        <v>19</v>
      </c>
      <c r="G219">
        <v>7830</v>
      </c>
      <c r="H219">
        <v>2183</v>
      </c>
      <c r="I219">
        <v>212</v>
      </c>
      <c r="J219">
        <v>360</v>
      </c>
      <c r="K219">
        <v>1</v>
      </c>
      <c r="L219" t="s">
        <v>32</v>
      </c>
      <c r="M219">
        <v>10013</v>
      </c>
      <c r="N219">
        <v>2.1172475781484072E-2</v>
      </c>
      <c r="O219" t="s">
        <v>21</v>
      </c>
    </row>
    <row r="220" spans="1:15" x14ac:dyDescent="0.35">
      <c r="A220" t="s">
        <v>245</v>
      </c>
      <c r="B220" t="s">
        <v>16</v>
      </c>
      <c r="C220" t="s">
        <v>17</v>
      </c>
      <c r="D220">
        <v>1</v>
      </c>
      <c r="E220" t="s">
        <v>18</v>
      </c>
      <c r="F220" t="s">
        <v>17</v>
      </c>
      <c r="G220">
        <v>3507</v>
      </c>
      <c r="H220">
        <v>3148</v>
      </c>
      <c r="I220">
        <v>212</v>
      </c>
      <c r="J220">
        <v>360</v>
      </c>
      <c r="K220">
        <v>1</v>
      </c>
      <c r="L220" t="s">
        <v>32</v>
      </c>
      <c r="M220">
        <v>6655</v>
      </c>
      <c r="N220">
        <v>3.1855747558226899E-2</v>
      </c>
      <c r="O220" t="s">
        <v>21</v>
      </c>
    </row>
    <row r="221" spans="1:15" x14ac:dyDescent="0.35">
      <c r="A221" t="s">
        <v>246</v>
      </c>
      <c r="B221" t="s">
        <v>16</v>
      </c>
      <c r="C221" t="s">
        <v>17</v>
      </c>
      <c r="D221">
        <v>1</v>
      </c>
      <c r="E221" t="s">
        <v>18</v>
      </c>
      <c r="F221" t="s">
        <v>19</v>
      </c>
      <c r="G221">
        <v>3747</v>
      </c>
      <c r="H221">
        <v>2139</v>
      </c>
      <c r="I221">
        <v>125</v>
      </c>
      <c r="J221">
        <v>360</v>
      </c>
      <c r="K221">
        <v>1</v>
      </c>
      <c r="L221" t="s">
        <v>20</v>
      </c>
      <c r="M221">
        <v>5886</v>
      </c>
      <c r="N221">
        <v>2.1236833163438669E-2</v>
      </c>
      <c r="O221" t="s">
        <v>21</v>
      </c>
    </row>
    <row r="222" spans="1:15" x14ac:dyDescent="0.35">
      <c r="A222" t="s">
        <v>247</v>
      </c>
      <c r="B222" t="s">
        <v>16</v>
      </c>
      <c r="C222" t="s">
        <v>17</v>
      </c>
      <c r="D222">
        <v>0</v>
      </c>
      <c r="E222" t="s">
        <v>18</v>
      </c>
      <c r="F222" t="s">
        <v>19</v>
      </c>
      <c r="G222">
        <v>2166</v>
      </c>
      <c r="H222">
        <v>2166</v>
      </c>
      <c r="I222">
        <v>108</v>
      </c>
      <c r="J222">
        <v>360</v>
      </c>
      <c r="K222">
        <v>1</v>
      </c>
      <c r="L222" t="s">
        <v>20</v>
      </c>
      <c r="M222">
        <v>4332</v>
      </c>
      <c r="N222">
        <v>2.4930747922437671E-2</v>
      </c>
      <c r="O222" t="s">
        <v>21</v>
      </c>
    </row>
    <row r="223" spans="1:15" x14ac:dyDescent="0.35">
      <c r="A223" t="s">
        <v>248</v>
      </c>
      <c r="B223" t="s">
        <v>16</v>
      </c>
      <c r="C223" t="s">
        <v>17</v>
      </c>
      <c r="D223">
        <v>0</v>
      </c>
      <c r="E223" t="s">
        <v>26</v>
      </c>
      <c r="F223" t="s">
        <v>19</v>
      </c>
      <c r="G223">
        <v>3500</v>
      </c>
      <c r="H223">
        <v>2168</v>
      </c>
      <c r="I223">
        <v>149</v>
      </c>
      <c r="J223">
        <v>360</v>
      </c>
      <c r="K223">
        <v>1</v>
      </c>
      <c r="L223" t="s">
        <v>32</v>
      </c>
      <c r="M223">
        <v>5668</v>
      </c>
      <c r="N223">
        <v>2.6287932251235002E-2</v>
      </c>
      <c r="O223" t="s">
        <v>21</v>
      </c>
    </row>
    <row r="224" spans="1:15" x14ac:dyDescent="0.35">
      <c r="A224" t="s">
        <v>249</v>
      </c>
      <c r="B224" t="s">
        <v>16</v>
      </c>
      <c r="C224" t="s">
        <v>17</v>
      </c>
      <c r="D224">
        <v>2</v>
      </c>
      <c r="E224" t="s">
        <v>26</v>
      </c>
      <c r="F224" t="s">
        <v>19</v>
      </c>
      <c r="G224">
        <v>2896</v>
      </c>
      <c r="H224">
        <v>0</v>
      </c>
      <c r="I224">
        <v>80</v>
      </c>
      <c r="J224">
        <v>480</v>
      </c>
      <c r="K224">
        <v>1</v>
      </c>
      <c r="L224" t="s">
        <v>20</v>
      </c>
      <c r="M224">
        <v>2896</v>
      </c>
      <c r="N224">
        <v>2.7624309392265189E-2</v>
      </c>
      <c r="O224" t="s">
        <v>21</v>
      </c>
    </row>
    <row r="225" spans="1:15" x14ac:dyDescent="0.35">
      <c r="A225" t="s">
        <v>250</v>
      </c>
      <c r="B225" t="s">
        <v>29</v>
      </c>
      <c r="C225" t="s">
        <v>19</v>
      </c>
      <c r="D225">
        <v>1</v>
      </c>
      <c r="E225" t="s">
        <v>18</v>
      </c>
      <c r="F225" t="s">
        <v>19</v>
      </c>
      <c r="G225">
        <v>5062</v>
      </c>
      <c r="H225">
        <v>0</v>
      </c>
      <c r="I225">
        <v>152</v>
      </c>
      <c r="J225">
        <v>300</v>
      </c>
      <c r="K225">
        <v>1</v>
      </c>
      <c r="L225" t="s">
        <v>32</v>
      </c>
      <c r="M225">
        <v>5062</v>
      </c>
      <c r="N225">
        <v>3.0027657052548399E-2</v>
      </c>
      <c r="O225" t="s">
        <v>21</v>
      </c>
    </row>
    <row r="226" spans="1:15" x14ac:dyDescent="0.35">
      <c r="A226" t="s">
        <v>251</v>
      </c>
      <c r="B226" t="s">
        <v>29</v>
      </c>
      <c r="C226" t="s">
        <v>19</v>
      </c>
      <c r="D226">
        <v>2</v>
      </c>
      <c r="E226" t="s">
        <v>18</v>
      </c>
      <c r="F226" t="s">
        <v>17</v>
      </c>
      <c r="G226">
        <v>5184</v>
      </c>
      <c r="H226">
        <v>0</v>
      </c>
      <c r="I226">
        <v>187</v>
      </c>
      <c r="J226">
        <v>360</v>
      </c>
      <c r="K226">
        <v>0</v>
      </c>
      <c r="L226" t="s">
        <v>30</v>
      </c>
      <c r="M226">
        <v>5184</v>
      </c>
      <c r="N226">
        <v>3.6072530864197531E-2</v>
      </c>
      <c r="O226" t="s">
        <v>33</v>
      </c>
    </row>
    <row r="227" spans="1:15" x14ac:dyDescent="0.35">
      <c r="A227" t="s">
        <v>252</v>
      </c>
      <c r="B227" t="s">
        <v>29</v>
      </c>
      <c r="C227" t="s">
        <v>19</v>
      </c>
      <c r="D227">
        <v>0</v>
      </c>
      <c r="E227" t="s">
        <v>18</v>
      </c>
      <c r="F227" t="s">
        <v>19</v>
      </c>
      <c r="G227">
        <v>2545</v>
      </c>
      <c r="H227">
        <v>0</v>
      </c>
      <c r="I227">
        <v>74</v>
      </c>
      <c r="J227">
        <v>360</v>
      </c>
      <c r="K227">
        <v>1</v>
      </c>
      <c r="L227" t="s">
        <v>20</v>
      </c>
      <c r="M227">
        <v>2545</v>
      </c>
      <c r="N227">
        <v>2.9076620825147351E-2</v>
      </c>
      <c r="O227" t="s">
        <v>21</v>
      </c>
    </row>
    <row r="228" spans="1:15" x14ac:dyDescent="0.35">
      <c r="A228" t="s">
        <v>253</v>
      </c>
      <c r="B228" t="s">
        <v>16</v>
      </c>
      <c r="C228" t="s">
        <v>17</v>
      </c>
      <c r="D228">
        <v>0</v>
      </c>
      <c r="E228" t="s">
        <v>18</v>
      </c>
      <c r="F228" t="s">
        <v>19</v>
      </c>
      <c r="G228">
        <v>2553</v>
      </c>
      <c r="H228">
        <v>1768</v>
      </c>
      <c r="I228">
        <v>102</v>
      </c>
      <c r="J228">
        <v>360</v>
      </c>
      <c r="K228">
        <v>1</v>
      </c>
      <c r="L228" t="s">
        <v>20</v>
      </c>
      <c r="M228">
        <v>4321</v>
      </c>
      <c r="N228">
        <v>2.3605646841009031E-2</v>
      </c>
      <c r="O228" t="s">
        <v>21</v>
      </c>
    </row>
    <row r="229" spans="1:15" x14ac:dyDescent="0.35">
      <c r="A229" t="s">
        <v>254</v>
      </c>
      <c r="B229" t="s">
        <v>16</v>
      </c>
      <c r="C229" t="s">
        <v>17</v>
      </c>
      <c r="D229">
        <v>1</v>
      </c>
      <c r="E229" t="s">
        <v>18</v>
      </c>
      <c r="F229" t="s">
        <v>19</v>
      </c>
      <c r="G229">
        <v>3436</v>
      </c>
      <c r="H229">
        <v>3809</v>
      </c>
      <c r="I229">
        <v>100</v>
      </c>
      <c r="J229">
        <v>360</v>
      </c>
      <c r="K229">
        <v>1</v>
      </c>
      <c r="L229" t="s">
        <v>32</v>
      </c>
      <c r="M229">
        <v>7245</v>
      </c>
      <c r="N229">
        <v>1.380262249827467E-2</v>
      </c>
      <c r="O229" t="s">
        <v>21</v>
      </c>
    </row>
    <row r="230" spans="1:15" x14ac:dyDescent="0.35">
      <c r="A230" t="s">
        <v>255</v>
      </c>
      <c r="B230" t="s">
        <v>16</v>
      </c>
      <c r="C230" t="s">
        <v>19</v>
      </c>
      <c r="D230">
        <v>0</v>
      </c>
      <c r="E230" t="s">
        <v>18</v>
      </c>
      <c r="F230" t="s">
        <v>19</v>
      </c>
      <c r="G230">
        <v>2412</v>
      </c>
      <c r="H230">
        <v>2755</v>
      </c>
      <c r="I230">
        <v>130</v>
      </c>
      <c r="J230">
        <v>360</v>
      </c>
      <c r="K230">
        <v>1</v>
      </c>
      <c r="L230" t="s">
        <v>32</v>
      </c>
      <c r="M230">
        <v>5167</v>
      </c>
      <c r="N230">
        <v>2.515966711825043E-2</v>
      </c>
      <c r="O230" t="s">
        <v>21</v>
      </c>
    </row>
    <row r="231" spans="1:15" x14ac:dyDescent="0.35">
      <c r="A231" t="s">
        <v>256</v>
      </c>
      <c r="B231" t="s">
        <v>16</v>
      </c>
      <c r="C231" t="s">
        <v>17</v>
      </c>
      <c r="D231" t="s">
        <v>39</v>
      </c>
      <c r="E231" t="s">
        <v>26</v>
      </c>
      <c r="F231" t="s">
        <v>19</v>
      </c>
      <c r="G231">
        <v>5180</v>
      </c>
      <c r="H231">
        <v>0</v>
      </c>
      <c r="I231">
        <v>125</v>
      </c>
      <c r="J231">
        <v>360</v>
      </c>
      <c r="K231">
        <v>0</v>
      </c>
      <c r="L231" t="s">
        <v>20</v>
      </c>
      <c r="M231">
        <v>5180</v>
      </c>
      <c r="N231">
        <v>2.4131274131274132E-2</v>
      </c>
      <c r="O231" t="s">
        <v>33</v>
      </c>
    </row>
    <row r="232" spans="1:15" x14ac:dyDescent="0.35">
      <c r="A232" t="s">
        <v>257</v>
      </c>
      <c r="B232" t="s">
        <v>16</v>
      </c>
      <c r="C232" t="s">
        <v>19</v>
      </c>
      <c r="D232">
        <v>0</v>
      </c>
      <c r="E232" t="s">
        <v>18</v>
      </c>
      <c r="F232" t="s">
        <v>19</v>
      </c>
      <c r="G232">
        <v>14911</v>
      </c>
      <c r="H232">
        <v>14507</v>
      </c>
      <c r="I232">
        <v>130</v>
      </c>
      <c r="J232">
        <v>360</v>
      </c>
      <c r="K232">
        <v>1</v>
      </c>
      <c r="L232" t="s">
        <v>30</v>
      </c>
      <c r="M232">
        <v>29418</v>
      </c>
      <c r="N232">
        <v>4.4190631586103748E-3</v>
      </c>
      <c r="O232" t="s">
        <v>21</v>
      </c>
    </row>
    <row r="233" spans="1:15" x14ac:dyDescent="0.35">
      <c r="A233" t="s">
        <v>258</v>
      </c>
      <c r="B233" t="s">
        <v>16</v>
      </c>
      <c r="C233" t="s">
        <v>19</v>
      </c>
      <c r="D233">
        <v>0</v>
      </c>
      <c r="E233" t="s">
        <v>18</v>
      </c>
      <c r="F233" t="s">
        <v>17</v>
      </c>
      <c r="G233">
        <v>2860</v>
      </c>
      <c r="H233">
        <v>2988</v>
      </c>
      <c r="I233">
        <v>138</v>
      </c>
      <c r="J233">
        <v>360</v>
      </c>
      <c r="K233">
        <v>1</v>
      </c>
      <c r="L233" t="s">
        <v>20</v>
      </c>
      <c r="M233">
        <v>5848</v>
      </c>
      <c r="N233">
        <v>2.359781121751026E-2</v>
      </c>
      <c r="O233" t="s">
        <v>21</v>
      </c>
    </row>
    <row r="234" spans="1:15" x14ac:dyDescent="0.35">
      <c r="A234" t="s">
        <v>259</v>
      </c>
      <c r="B234" t="s">
        <v>16</v>
      </c>
      <c r="C234" t="s">
        <v>17</v>
      </c>
      <c r="D234">
        <v>0</v>
      </c>
      <c r="E234" t="s">
        <v>18</v>
      </c>
      <c r="F234" t="s">
        <v>19</v>
      </c>
      <c r="G234">
        <v>1173</v>
      </c>
      <c r="H234">
        <v>1594</v>
      </c>
      <c r="I234">
        <v>28</v>
      </c>
      <c r="J234">
        <v>180</v>
      </c>
      <c r="K234">
        <v>1</v>
      </c>
      <c r="L234" t="s">
        <v>32</v>
      </c>
      <c r="M234">
        <v>2767</v>
      </c>
      <c r="N234">
        <v>1.011926273942898E-2</v>
      </c>
      <c r="O234" t="s">
        <v>21</v>
      </c>
    </row>
    <row r="235" spans="1:15" x14ac:dyDescent="0.35">
      <c r="A235" t="s">
        <v>260</v>
      </c>
      <c r="B235" t="s">
        <v>29</v>
      </c>
      <c r="C235" t="s">
        <v>19</v>
      </c>
      <c r="D235">
        <v>1</v>
      </c>
      <c r="E235" t="s">
        <v>18</v>
      </c>
      <c r="F235" t="s">
        <v>19</v>
      </c>
      <c r="G235">
        <v>7600</v>
      </c>
      <c r="H235">
        <v>0</v>
      </c>
      <c r="I235">
        <v>92</v>
      </c>
      <c r="J235">
        <v>360</v>
      </c>
      <c r="K235">
        <v>1</v>
      </c>
      <c r="L235" t="s">
        <v>30</v>
      </c>
      <c r="M235">
        <v>7600</v>
      </c>
      <c r="N235">
        <v>1.210526315789474E-2</v>
      </c>
      <c r="O235" t="s">
        <v>21</v>
      </c>
    </row>
    <row r="236" spans="1:15" x14ac:dyDescent="0.35">
      <c r="A236" t="s">
        <v>261</v>
      </c>
      <c r="B236" t="s">
        <v>29</v>
      </c>
      <c r="C236" t="s">
        <v>17</v>
      </c>
      <c r="D236">
        <v>0</v>
      </c>
      <c r="E236" t="s">
        <v>18</v>
      </c>
      <c r="F236" t="s">
        <v>19</v>
      </c>
      <c r="G236">
        <v>2157</v>
      </c>
      <c r="H236">
        <v>1788</v>
      </c>
      <c r="I236">
        <v>104</v>
      </c>
      <c r="J236">
        <v>360</v>
      </c>
      <c r="K236">
        <v>1</v>
      </c>
      <c r="L236" t="s">
        <v>20</v>
      </c>
      <c r="M236">
        <v>3945</v>
      </c>
      <c r="N236">
        <v>2.636248415716096E-2</v>
      </c>
      <c r="O236" t="s">
        <v>21</v>
      </c>
    </row>
    <row r="237" spans="1:15" x14ac:dyDescent="0.35">
      <c r="A237" t="s">
        <v>262</v>
      </c>
      <c r="B237" t="s">
        <v>16</v>
      </c>
      <c r="C237" t="s">
        <v>19</v>
      </c>
      <c r="D237">
        <v>0</v>
      </c>
      <c r="E237" t="s">
        <v>18</v>
      </c>
      <c r="F237" t="s">
        <v>19</v>
      </c>
      <c r="G237">
        <v>2231</v>
      </c>
      <c r="H237">
        <v>2774</v>
      </c>
      <c r="I237">
        <v>176</v>
      </c>
      <c r="J237">
        <v>360</v>
      </c>
      <c r="K237">
        <v>0</v>
      </c>
      <c r="L237" t="s">
        <v>20</v>
      </c>
      <c r="M237">
        <v>5005</v>
      </c>
      <c r="N237">
        <v>3.5164835164835158E-2</v>
      </c>
      <c r="O237" t="s">
        <v>33</v>
      </c>
    </row>
    <row r="238" spans="1:15" x14ac:dyDescent="0.35">
      <c r="A238" t="s">
        <v>263</v>
      </c>
      <c r="B238" t="s">
        <v>29</v>
      </c>
      <c r="C238" t="s">
        <v>19</v>
      </c>
      <c r="D238">
        <v>0</v>
      </c>
      <c r="E238" t="s">
        <v>18</v>
      </c>
      <c r="F238" t="s">
        <v>19</v>
      </c>
      <c r="G238">
        <v>2274</v>
      </c>
      <c r="H238">
        <v>5211</v>
      </c>
      <c r="I238">
        <v>117</v>
      </c>
      <c r="J238">
        <v>360</v>
      </c>
      <c r="K238">
        <v>0</v>
      </c>
      <c r="L238" t="s">
        <v>30</v>
      </c>
      <c r="M238">
        <v>7485</v>
      </c>
      <c r="N238">
        <v>1.5631262525050101E-2</v>
      </c>
      <c r="O238" t="s">
        <v>33</v>
      </c>
    </row>
    <row r="239" spans="1:15" x14ac:dyDescent="0.35">
      <c r="A239" t="s">
        <v>264</v>
      </c>
      <c r="B239" t="s">
        <v>16</v>
      </c>
      <c r="C239" t="s">
        <v>17</v>
      </c>
      <c r="D239">
        <v>2</v>
      </c>
      <c r="E239" t="s">
        <v>26</v>
      </c>
      <c r="F239" t="s">
        <v>19</v>
      </c>
      <c r="G239">
        <v>6166</v>
      </c>
      <c r="H239">
        <v>13983</v>
      </c>
      <c r="I239">
        <v>102</v>
      </c>
      <c r="J239">
        <v>360</v>
      </c>
      <c r="K239">
        <v>1</v>
      </c>
      <c r="L239" t="s">
        <v>32</v>
      </c>
      <c r="M239">
        <v>20149</v>
      </c>
      <c r="N239">
        <v>5.0622859695270226E-3</v>
      </c>
      <c r="O239" t="s">
        <v>21</v>
      </c>
    </row>
    <row r="240" spans="1:15" x14ac:dyDescent="0.35">
      <c r="A240" t="s">
        <v>265</v>
      </c>
      <c r="B240" t="s">
        <v>16</v>
      </c>
      <c r="C240" t="s">
        <v>17</v>
      </c>
      <c r="D240">
        <v>2</v>
      </c>
      <c r="E240" t="s">
        <v>26</v>
      </c>
      <c r="F240" t="s">
        <v>19</v>
      </c>
      <c r="G240">
        <v>2513</v>
      </c>
      <c r="H240">
        <v>1110</v>
      </c>
      <c r="I240">
        <v>107</v>
      </c>
      <c r="J240">
        <v>360</v>
      </c>
      <c r="K240">
        <v>1</v>
      </c>
      <c r="L240" t="s">
        <v>30</v>
      </c>
      <c r="M240">
        <v>3623</v>
      </c>
      <c r="N240">
        <v>2.9533535743858679E-2</v>
      </c>
      <c r="O240" t="s">
        <v>21</v>
      </c>
    </row>
    <row r="241" spans="1:15" x14ac:dyDescent="0.35">
      <c r="A241" t="s">
        <v>266</v>
      </c>
      <c r="B241" t="s">
        <v>16</v>
      </c>
      <c r="C241" t="s">
        <v>19</v>
      </c>
      <c r="D241">
        <v>0</v>
      </c>
      <c r="E241" t="s">
        <v>18</v>
      </c>
      <c r="F241" t="s">
        <v>19</v>
      </c>
      <c r="G241">
        <v>4333</v>
      </c>
      <c r="H241">
        <v>0</v>
      </c>
      <c r="I241">
        <v>66</v>
      </c>
      <c r="J241">
        <v>480</v>
      </c>
      <c r="K241">
        <v>1</v>
      </c>
      <c r="L241" t="s">
        <v>20</v>
      </c>
      <c r="M241">
        <v>4333</v>
      </c>
      <c r="N241">
        <v>1.5231940918532191E-2</v>
      </c>
      <c r="O241" t="s">
        <v>21</v>
      </c>
    </row>
    <row r="242" spans="1:15" x14ac:dyDescent="0.35">
      <c r="A242" t="s">
        <v>267</v>
      </c>
      <c r="B242" t="s">
        <v>16</v>
      </c>
      <c r="C242" t="s">
        <v>19</v>
      </c>
      <c r="D242">
        <v>0</v>
      </c>
      <c r="E242" t="s">
        <v>26</v>
      </c>
      <c r="F242" t="s">
        <v>19</v>
      </c>
      <c r="G242">
        <v>3844</v>
      </c>
      <c r="H242">
        <v>0</v>
      </c>
      <c r="I242">
        <v>105</v>
      </c>
      <c r="J242">
        <v>360</v>
      </c>
      <c r="K242">
        <v>1</v>
      </c>
      <c r="L242" t="s">
        <v>20</v>
      </c>
      <c r="M242">
        <v>3844</v>
      </c>
      <c r="N242">
        <v>2.7315296566077001E-2</v>
      </c>
      <c r="O242" t="s">
        <v>21</v>
      </c>
    </row>
    <row r="243" spans="1:15" x14ac:dyDescent="0.35">
      <c r="A243" t="s">
        <v>268</v>
      </c>
      <c r="B243" t="s">
        <v>16</v>
      </c>
      <c r="C243" t="s">
        <v>17</v>
      </c>
      <c r="D243">
        <v>0</v>
      </c>
      <c r="E243" t="s">
        <v>18</v>
      </c>
      <c r="F243" t="s">
        <v>19</v>
      </c>
      <c r="G243">
        <v>3887</v>
      </c>
      <c r="H243">
        <v>1517</v>
      </c>
      <c r="I243">
        <v>105</v>
      </c>
      <c r="J243">
        <v>360</v>
      </c>
      <c r="K243">
        <v>0</v>
      </c>
      <c r="L243" t="s">
        <v>30</v>
      </c>
      <c r="M243">
        <v>5404</v>
      </c>
      <c r="N243">
        <v>1.9430051813471499E-2</v>
      </c>
      <c r="O243" t="s">
        <v>33</v>
      </c>
    </row>
    <row r="244" spans="1:15" x14ac:dyDescent="0.35">
      <c r="A244" t="s">
        <v>269</v>
      </c>
      <c r="B244" t="s">
        <v>16</v>
      </c>
      <c r="C244" t="s">
        <v>17</v>
      </c>
      <c r="D244">
        <v>0</v>
      </c>
      <c r="E244" t="s">
        <v>18</v>
      </c>
      <c r="F244" t="s">
        <v>19</v>
      </c>
      <c r="G244">
        <v>3510</v>
      </c>
      <c r="H244">
        <v>828</v>
      </c>
      <c r="I244">
        <v>105</v>
      </c>
      <c r="J244">
        <v>360</v>
      </c>
      <c r="K244">
        <v>1</v>
      </c>
      <c r="L244" t="s">
        <v>30</v>
      </c>
      <c r="M244">
        <v>4338</v>
      </c>
      <c r="N244">
        <v>2.420470262793914E-2</v>
      </c>
      <c r="O244" t="s">
        <v>21</v>
      </c>
    </row>
    <row r="245" spans="1:15" x14ac:dyDescent="0.35">
      <c r="A245" t="s">
        <v>270</v>
      </c>
      <c r="B245" t="s">
        <v>16</v>
      </c>
      <c r="C245" t="s">
        <v>17</v>
      </c>
      <c r="D245">
        <v>0</v>
      </c>
      <c r="E245" t="s">
        <v>18</v>
      </c>
      <c r="F245" t="s">
        <v>19</v>
      </c>
      <c r="G245">
        <v>2539</v>
      </c>
      <c r="H245">
        <v>1704</v>
      </c>
      <c r="I245">
        <v>125</v>
      </c>
      <c r="J245">
        <v>360</v>
      </c>
      <c r="K245">
        <v>0</v>
      </c>
      <c r="L245" t="s">
        <v>32</v>
      </c>
      <c r="M245">
        <v>4243</v>
      </c>
      <c r="N245">
        <v>2.9460287532406319E-2</v>
      </c>
      <c r="O245" t="s">
        <v>33</v>
      </c>
    </row>
    <row r="246" spans="1:15" x14ac:dyDescent="0.35">
      <c r="A246" t="s">
        <v>271</v>
      </c>
      <c r="B246" t="s">
        <v>29</v>
      </c>
      <c r="C246" t="s">
        <v>19</v>
      </c>
      <c r="D246">
        <v>0</v>
      </c>
      <c r="E246" t="s">
        <v>26</v>
      </c>
      <c r="F246" t="s">
        <v>19</v>
      </c>
      <c r="G246">
        <v>2107</v>
      </c>
      <c r="H246">
        <v>0</v>
      </c>
      <c r="I246">
        <v>64</v>
      </c>
      <c r="J246">
        <v>360</v>
      </c>
      <c r="K246">
        <v>1</v>
      </c>
      <c r="L246" t="s">
        <v>30</v>
      </c>
      <c r="M246">
        <v>2107</v>
      </c>
      <c r="N246">
        <v>3.0374940673944001E-2</v>
      </c>
      <c r="O246" t="s">
        <v>21</v>
      </c>
    </row>
    <row r="247" spans="1:15" x14ac:dyDescent="0.35">
      <c r="A247" t="s">
        <v>272</v>
      </c>
      <c r="B247" t="s">
        <v>16</v>
      </c>
      <c r="C247" t="s">
        <v>17</v>
      </c>
      <c r="D247">
        <v>0</v>
      </c>
      <c r="E247" t="s">
        <v>18</v>
      </c>
      <c r="F247" t="s">
        <v>19</v>
      </c>
      <c r="G247">
        <v>3186</v>
      </c>
      <c r="H247">
        <v>3145</v>
      </c>
      <c r="I247">
        <v>150</v>
      </c>
      <c r="J247">
        <v>180</v>
      </c>
      <c r="K247">
        <v>0</v>
      </c>
      <c r="L247" t="s">
        <v>30</v>
      </c>
      <c r="M247">
        <v>6331</v>
      </c>
      <c r="N247">
        <v>2.3692939504027798E-2</v>
      </c>
      <c r="O247" t="s">
        <v>33</v>
      </c>
    </row>
    <row r="248" spans="1:15" x14ac:dyDescent="0.35">
      <c r="A248" t="s">
        <v>273</v>
      </c>
      <c r="B248" t="s">
        <v>16</v>
      </c>
      <c r="C248" t="s">
        <v>17</v>
      </c>
      <c r="D248">
        <v>2</v>
      </c>
      <c r="E248" t="s">
        <v>18</v>
      </c>
      <c r="F248" t="s">
        <v>17</v>
      </c>
      <c r="G248">
        <v>5000</v>
      </c>
      <c r="H248">
        <v>2166</v>
      </c>
      <c r="I248">
        <v>150</v>
      </c>
      <c r="J248">
        <v>360</v>
      </c>
      <c r="K248">
        <v>1</v>
      </c>
      <c r="L248" t="s">
        <v>20</v>
      </c>
      <c r="M248">
        <v>7166</v>
      </c>
      <c r="N248">
        <v>2.0932179737650009E-2</v>
      </c>
      <c r="O248" t="s">
        <v>21</v>
      </c>
    </row>
    <row r="249" spans="1:15" x14ac:dyDescent="0.35">
      <c r="A249" t="s">
        <v>274</v>
      </c>
      <c r="B249" t="s">
        <v>16</v>
      </c>
      <c r="C249" t="s">
        <v>17</v>
      </c>
      <c r="D249">
        <v>0</v>
      </c>
      <c r="E249" t="s">
        <v>18</v>
      </c>
      <c r="F249" t="s">
        <v>19</v>
      </c>
      <c r="G249">
        <v>10000</v>
      </c>
      <c r="H249">
        <v>0</v>
      </c>
      <c r="I249">
        <v>125</v>
      </c>
      <c r="J249">
        <v>360</v>
      </c>
      <c r="K249">
        <v>1</v>
      </c>
      <c r="L249" t="s">
        <v>20</v>
      </c>
      <c r="M249">
        <v>10000</v>
      </c>
      <c r="N249">
        <v>1.2500000000000001E-2</v>
      </c>
      <c r="O249" t="s">
        <v>21</v>
      </c>
    </row>
    <row r="250" spans="1:15" x14ac:dyDescent="0.35">
      <c r="A250" t="s">
        <v>275</v>
      </c>
      <c r="B250" t="s">
        <v>16</v>
      </c>
      <c r="C250" t="s">
        <v>17</v>
      </c>
      <c r="D250">
        <v>0</v>
      </c>
      <c r="E250" t="s">
        <v>26</v>
      </c>
      <c r="F250" t="s">
        <v>17</v>
      </c>
      <c r="G250">
        <v>3943</v>
      </c>
      <c r="H250">
        <v>0</v>
      </c>
      <c r="I250">
        <v>64</v>
      </c>
      <c r="J250">
        <v>360</v>
      </c>
      <c r="K250">
        <v>1</v>
      </c>
      <c r="L250" t="s">
        <v>30</v>
      </c>
      <c r="M250">
        <v>3943</v>
      </c>
      <c r="N250">
        <v>1.6231295967537411E-2</v>
      </c>
      <c r="O250" t="s">
        <v>21</v>
      </c>
    </row>
    <row r="251" spans="1:15" x14ac:dyDescent="0.35">
      <c r="A251" t="s">
        <v>276</v>
      </c>
      <c r="B251" t="s">
        <v>16</v>
      </c>
      <c r="C251" t="s">
        <v>19</v>
      </c>
      <c r="D251">
        <v>0</v>
      </c>
      <c r="E251" t="s">
        <v>18</v>
      </c>
      <c r="F251" t="s">
        <v>19</v>
      </c>
      <c r="G251">
        <v>2925</v>
      </c>
      <c r="H251">
        <v>0</v>
      </c>
      <c r="I251">
        <v>40</v>
      </c>
      <c r="J251">
        <v>180</v>
      </c>
      <c r="K251">
        <v>1</v>
      </c>
      <c r="L251" t="s">
        <v>32</v>
      </c>
      <c r="M251">
        <v>2925</v>
      </c>
      <c r="N251">
        <v>1.367521367521368E-2</v>
      </c>
      <c r="O251" t="s">
        <v>21</v>
      </c>
    </row>
    <row r="252" spans="1:15" x14ac:dyDescent="0.35">
      <c r="A252" t="s">
        <v>277</v>
      </c>
      <c r="B252" t="s">
        <v>16</v>
      </c>
      <c r="C252" t="s">
        <v>17</v>
      </c>
      <c r="D252" t="s">
        <v>39</v>
      </c>
      <c r="E252" t="s">
        <v>18</v>
      </c>
      <c r="F252" t="s">
        <v>19</v>
      </c>
      <c r="G252">
        <v>3242</v>
      </c>
      <c r="H252">
        <v>437</v>
      </c>
      <c r="I252">
        <v>142</v>
      </c>
      <c r="J252">
        <v>480</v>
      </c>
      <c r="K252">
        <v>0</v>
      </c>
      <c r="L252" t="s">
        <v>20</v>
      </c>
      <c r="M252">
        <v>3679</v>
      </c>
      <c r="N252">
        <v>3.8597444957868987E-2</v>
      </c>
      <c r="O252" t="s">
        <v>33</v>
      </c>
    </row>
    <row r="253" spans="1:15" x14ac:dyDescent="0.35">
      <c r="A253" t="s">
        <v>278</v>
      </c>
      <c r="B253" t="s">
        <v>16</v>
      </c>
      <c r="C253" t="s">
        <v>17</v>
      </c>
      <c r="D253">
        <v>0</v>
      </c>
      <c r="E253" t="s">
        <v>18</v>
      </c>
      <c r="F253" t="s">
        <v>19</v>
      </c>
      <c r="G253">
        <v>3863</v>
      </c>
      <c r="H253">
        <v>0</v>
      </c>
      <c r="I253">
        <v>70</v>
      </c>
      <c r="J253">
        <v>300</v>
      </c>
      <c r="K253">
        <v>1</v>
      </c>
      <c r="L253" t="s">
        <v>30</v>
      </c>
      <c r="M253">
        <v>3863</v>
      </c>
      <c r="N253">
        <v>1.8120631633445509E-2</v>
      </c>
      <c r="O253" t="s">
        <v>21</v>
      </c>
    </row>
    <row r="254" spans="1:15" x14ac:dyDescent="0.35">
      <c r="A254" t="s">
        <v>279</v>
      </c>
      <c r="B254" t="s">
        <v>29</v>
      </c>
      <c r="C254" t="s">
        <v>19</v>
      </c>
      <c r="D254">
        <v>1</v>
      </c>
      <c r="E254" t="s">
        <v>18</v>
      </c>
      <c r="F254" t="s">
        <v>19</v>
      </c>
      <c r="G254">
        <v>4028</v>
      </c>
      <c r="H254">
        <v>0</v>
      </c>
      <c r="I254">
        <v>131</v>
      </c>
      <c r="J254">
        <v>360</v>
      </c>
      <c r="K254">
        <v>1</v>
      </c>
      <c r="L254" t="s">
        <v>30</v>
      </c>
      <c r="M254">
        <v>4028</v>
      </c>
      <c r="N254">
        <v>3.2522343594836148E-2</v>
      </c>
      <c r="O254" t="s">
        <v>21</v>
      </c>
    </row>
    <row r="255" spans="1:15" x14ac:dyDescent="0.35">
      <c r="A255" t="s">
        <v>280</v>
      </c>
      <c r="B255" t="s">
        <v>16</v>
      </c>
      <c r="C255" t="s">
        <v>17</v>
      </c>
      <c r="D255">
        <v>2</v>
      </c>
      <c r="E255" t="s">
        <v>18</v>
      </c>
      <c r="F255" t="s">
        <v>19</v>
      </c>
      <c r="G255">
        <v>4010</v>
      </c>
      <c r="H255">
        <v>1025</v>
      </c>
      <c r="I255">
        <v>120</v>
      </c>
      <c r="J255">
        <v>360</v>
      </c>
      <c r="K255">
        <v>1</v>
      </c>
      <c r="L255" t="s">
        <v>20</v>
      </c>
      <c r="M255">
        <v>5035</v>
      </c>
      <c r="N255">
        <v>2.3833167825223441E-2</v>
      </c>
      <c r="O255" t="s">
        <v>21</v>
      </c>
    </row>
    <row r="256" spans="1:15" x14ac:dyDescent="0.35">
      <c r="A256" t="s">
        <v>281</v>
      </c>
      <c r="B256" t="s">
        <v>29</v>
      </c>
      <c r="C256" t="s">
        <v>17</v>
      </c>
      <c r="D256">
        <v>1</v>
      </c>
      <c r="E256" t="s">
        <v>18</v>
      </c>
      <c r="F256" t="s">
        <v>19</v>
      </c>
      <c r="G256">
        <v>3719</v>
      </c>
      <c r="H256">
        <v>1585</v>
      </c>
      <c r="I256">
        <v>114</v>
      </c>
      <c r="J256">
        <v>360</v>
      </c>
      <c r="K256">
        <v>1</v>
      </c>
      <c r="L256" t="s">
        <v>20</v>
      </c>
      <c r="M256">
        <v>5304</v>
      </c>
      <c r="N256">
        <v>2.1493212669683261E-2</v>
      </c>
      <c r="O256" t="s">
        <v>21</v>
      </c>
    </row>
    <row r="257" spans="1:15" x14ac:dyDescent="0.35">
      <c r="A257" t="s">
        <v>282</v>
      </c>
      <c r="B257" t="s">
        <v>16</v>
      </c>
      <c r="C257" t="s">
        <v>19</v>
      </c>
      <c r="D257">
        <v>0</v>
      </c>
      <c r="E257" t="s">
        <v>18</v>
      </c>
      <c r="F257" t="s">
        <v>19</v>
      </c>
      <c r="G257">
        <v>2858</v>
      </c>
      <c r="H257">
        <v>0</v>
      </c>
      <c r="I257">
        <v>123</v>
      </c>
      <c r="J257">
        <v>360</v>
      </c>
      <c r="K257">
        <v>0</v>
      </c>
      <c r="L257" t="s">
        <v>32</v>
      </c>
      <c r="M257">
        <v>2858</v>
      </c>
      <c r="N257">
        <v>4.3037088873338E-2</v>
      </c>
      <c r="O257" t="s">
        <v>33</v>
      </c>
    </row>
    <row r="258" spans="1:15" x14ac:dyDescent="0.35">
      <c r="A258" t="s">
        <v>283</v>
      </c>
      <c r="B258" t="s">
        <v>29</v>
      </c>
      <c r="C258" t="s">
        <v>17</v>
      </c>
      <c r="D258">
        <v>0</v>
      </c>
      <c r="E258" t="s">
        <v>18</v>
      </c>
      <c r="F258" t="s">
        <v>19</v>
      </c>
      <c r="G258">
        <v>3833</v>
      </c>
      <c r="H258">
        <v>0</v>
      </c>
      <c r="I258">
        <v>92</v>
      </c>
      <c r="J258">
        <v>360</v>
      </c>
      <c r="K258">
        <v>1</v>
      </c>
      <c r="L258" t="s">
        <v>32</v>
      </c>
      <c r="M258">
        <v>3833</v>
      </c>
      <c r="N258">
        <v>2.4002087138011999E-2</v>
      </c>
      <c r="O258" t="s">
        <v>21</v>
      </c>
    </row>
    <row r="259" spans="1:15" x14ac:dyDescent="0.35">
      <c r="A259" t="s">
        <v>284</v>
      </c>
      <c r="B259" t="s">
        <v>16</v>
      </c>
      <c r="C259" t="s">
        <v>17</v>
      </c>
      <c r="D259">
        <v>0</v>
      </c>
      <c r="E259" t="s">
        <v>18</v>
      </c>
      <c r="F259" t="s">
        <v>19</v>
      </c>
      <c r="G259">
        <v>3333</v>
      </c>
      <c r="H259">
        <v>4288</v>
      </c>
      <c r="I259">
        <v>160</v>
      </c>
      <c r="J259">
        <v>360</v>
      </c>
      <c r="K259">
        <v>1</v>
      </c>
      <c r="L259" t="s">
        <v>20</v>
      </c>
      <c r="M259">
        <v>7621</v>
      </c>
      <c r="N259">
        <v>2.0994620128592049E-2</v>
      </c>
      <c r="O259" t="s">
        <v>21</v>
      </c>
    </row>
    <row r="260" spans="1:15" x14ac:dyDescent="0.35">
      <c r="A260" t="s">
        <v>285</v>
      </c>
      <c r="B260" t="s">
        <v>16</v>
      </c>
      <c r="C260" t="s">
        <v>17</v>
      </c>
      <c r="D260">
        <v>0</v>
      </c>
      <c r="E260" t="s">
        <v>18</v>
      </c>
      <c r="F260" t="s">
        <v>19</v>
      </c>
      <c r="G260">
        <v>3007</v>
      </c>
      <c r="H260">
        <v>3725</v>
      </c>
      <c r="I260">
        <v>151</v>
      </c>
      <c r="J260">
        <v>360</v>
      </c>
      <c r="K260">
        <v>1</v>
      </c>
      <c r="L260" t="s">
        <v>32</v>
      </c>
      <c r="M260">
        <v>6732</v>
      </c>
      <c r="N260">
        <v>2.2430184194890079E-2</v>
      </c>
      <c r="O260" t="s">
        <v>21</v>
      </c>
    </row>
    <row r="261" spans="1:15" x14ac:dyDescent="0.35">
      <c r="A261" t="s">
        <v>286</v>
      </c>
      <c r="B261" t="s">
        <v>29</v>
      </c>
      <c r="C261" t="s">
        <v>19</v>
      </c>
      <c r="D261">
        <v>1</v>
      </c>
      <c r="E261" t="s">
        <v>18</v>
      </c>
      <c r="F261" t="s">
        <v>19</v>
      </c>
      <c r="G261">
        <v>1850</v>
      </c>
      <c r="H261">
        <v>4583</v>
      </c>
      <c r="I261">
        <v>81</v>
      </c>
      <c r="J261">
        <v>360</v>
      </c>
      <c r="K261">
        <v>1</v>
      </c>
      <c r="L261" t="s">
        <v>32</v>
      </c>
      <c r="M261">
        <v>6433</v>
      </c>
      <c r="N261">
        <v>1.259132597543914E-2</v>
      </c>
      <c r="O261" t="s">
        <v>21</v>
      </c>
    </row>
    <row r="262" spans="1:15" x14ac:dyDescent="0.35">
      <c r="A262" t="s">
        <v>287</v>
      </c>
      <c r="B262" t="s">
        <v>16</v>
      </c>
      <c r="C262" t="s">
        <v>17</v>
      </c>
      <c r="D262" t="s">
        <v>39</v>
      </c>
      <c r="E262" t="s">
        <v>26</v>
      </c>
      <c r="F262" t="s">
        <v>19</v>
      </c>
      <c r="G262">
        <v>2792</v>
      </c>
      <c r="H262">
        <v>2619</v>
      </c>
      <c r="I262">
        <v>171</v>
      </c>
      <c r="J262">
        <v>360</v>
      </c>
      <c r="K262">
        <v>1</v>
      </c>
      <c r="L262" t="s">
        <v>30</v>
      </c>
      <c r="M262">
        <v>5411</v>
      </c>
      <c r="N262">
        <v>3.1602291628164851E-2</v>
      </c>
      <c r="O262" t="s">
        <v>21</v>
      </c>
    </row>
    <row r="263" spans="1:15" x14ac:dyDescent="0.35">
      <c r="A263" t="s">
        <v>288</v>
      </c>
      <c r="B263" t="s">
        <v>16</v>
      </c>
      <c r="C263" t="s">
        <v>17</v>
      </c>
      <c r="D263">
        <v>0</v>
      </c>
      <c r="E263" t="s">
        <v>18</v>
      </c>
      <c r="F263" t="s">
        <v>19</v>
      </c>
      <c r="G263">
        <v>2982</v>
      </c>
      <c r="H263">
        <v>1550</v>
      </c>
      <c r="I263">
        <v>110</v>
      </c>
      <c r="J263">
        <v>360</v>
      </c>
      <c r="K263">
        <v>1</v>
      </c>
      <c r="L263" t="s">
        <v>30</v>
      </c>
      <c r="M263">
        <v>4532</v>
      </c>
      <c r="N263">
        <v>2.4271844660194171E-2</v>
      </c>
      <c r="O263" t="s">
        <v>21</v>
      </c>
    </row>
    <row r="264" spans="1:15" x14ac:dyDescent="0.35">
      <c r="A264" t="s">
        <v>289</v>
      </c>
      <c r="B264" t="s">
        <v>16</v>
      </c>
      <c r="C264" t="s">
        <v>19</v>
      </c>
      <c r="D264">
        <v>0</v>
      </c>
      <c r="E264" t="s">
        <v>18</v>
      </c>
      <c r="F264" t="s">
        <v>19</v>
      </c>
      <c r="G264">
        <v>3417</v>
      </c>
      <c r="H264">
        <v>738</v>
      </c>
      <c r="I264">
        <v>100</v>
      </c>
      <c r="J264">
        <v>360</v>
      </c>
      <c r="K264">
        <v>1</v>
      </c>
      <c r="L264" t="s">
        <v>32</v>
      </c>
      <c r="M264">
        <v>4155</v>
      </c>
      <c r="N264">
        <v>2.4067388688327321E-2</v>
      </c>
      <c r="O264" t="s">
        <v>21</v>
      </c>
    </row>
    <row r="265" spans="1:15" x14ac:dyDescent="0.35">
      <c r="A265" t="s">
        <v>290</v>
      </c>
      <c r="B265" t="s">
        <v>16</v>
      </c>
      <c r="C265" t="s">
        <v>17</v>
      </c>
      <c r="D265">
        <v>1</v>
      </c>
      <c r="E265" t="s">
        <v>18</v>
      </c>
      <c r="F265" t="s">
        <v>19</v>
      </c>
      <c r="G265">
        <v>18840</v>
      </c>
      <c r="H265">
        <v>0</v>
      </c>
      <c r="I265">
        <v>234</v>
      </c>
      <c r="J265">
        <v>360</v>
      </c>
      <c r="K265">
        <v>1</v>
      </c>
      <c r="L265" t="s">
        <v>32</v>
      </c>
      <c r="M265">
        <v>18840</v>
      </c>
      <c r="N265">
        <v>1.24203821656051E-2</v>
      </c>
      <c r="O265" t="s">
        <v>21</v>
      </c>
    </row>
    <row r="266" spans="1:15" x14ac:dyDescent="0.35">
      <c r="A266" t="s">
        <v>291</v>
      </c>
      <c r="B266" t="s">
        <v>16</v>
      </c>
      <c r="C266" t="s">
        <v>17</v>
      </c>
      <c r="D266">
        <v>2</v>
      </c>
      <c r="E266" t="s">
        <v>18</v>
      </c>
      <c r="F266" t="s">
        <v>19</v>
      </c>
      <c r="G266">
        <v>2995</v>
      </c>
      <c r="H266">
        <v>1120</v>
      </c>
      <c r="I266">
        <v>184</v>
      </c>
      <c r="J266">
        <v>360</v>
      </c>
      <c r="K266">
        <v>1</v>
      </c>
      <c r="L266" t="s">
        <v>32</v>
      </c>
      <c r="M266">
        <v>4115</v>
      </c>
      <c r="N266">
        <v>4.4714459295261237E-2</v>
      </c>
      <c r="O266" t="s">
        <v>21</v>
      </c>
    </row>
    <row r="267" spans="1:15" x14ac:dyDescent="0.35">
      <c r="A267" t="s">
        <v>292</v>
      </c>
      <c r="B267" t="s">
        <v>16</v>
      </c>
      <c r="C267" t="s">
        <v>19</v>
      </c>
      <c r="D267">
        <v>0</v>
      </c>
      <c r="E267" t="s">
        <v>18</v>
      </c>
      <c r="F267" t="s">
        <v>19</v>
      </c>
      <c r="G267">
        <v>3579</v>
      </c>
      <c r="H267">
        <v>3308</v>
      </c>
      <c r="I267">
        <v>138</v>
      </c>
      <c r="J267">
        <v>360</v>
      </c>
      <c r="K267">
        <v>1</v>
      </c>
      <c r="L267" t="s">
        <v>30</v>
      </c>
      <c r="M267">
        <v>6887</v>
      </c>
      <c r="N267">
        <v>2.0037752286917381E-2</v>
      </c>
      <c r="O267" t="s">
        <v>21</v>
      </c>
    </row>
    <row r="268" spans="1:15" x14ac:dyDescent="0.35">
      <c r="A268" t="s">
        <v>293</v>
      </c>
      <c r="B268" t="s">
        <v>29</v>
      </c>
      <c r="C268" t="s">
        <v>17</v>
      </c>
      <c r="D268">
        <v>1</v>
      </c>
      <c r="E268" t="s">
        <v>26</v>
      </c>
      <c r="F268" t="s">
        <v>19</v>
      </c>
      <c r="G268">
        <v>3835</v>
      </c>
      <c r="H268">
        <v>1400</v>
      </c>
      <c r="I268">
        <v>112</v>
      </c>
      <c r="J268">
        <v>480</v>
      </c>
      <c r="K268">
        <v>0</v>
      </c>
      <c r="L268" t="s">
        <v>20</v>
      </c>
      <c r="M268">
        <v>5235</v>
      </c>
      <c r="N268">
        <v>2.139446036294174E-2</v>
      </c>
      <c r="O268" t="s">
        <v>33</v>
      </c>
    </row>
    <row r="269" spans="1:15" x14ac:dyDescent="0.35">
      <c r="A269" t="s">
        <v>294</v>
      </c>
      <c r="B269" t="s">
        <v>29</v>
      </c>
      <c r="C269" t="s">
        <v>19</v>
      </c>
      <c r="D269">
        <v>1</v>
      </c>
      <c r="E269" t="s">
        <v>26</v>
      </c>
      <c r="F269" t="s">
        <v>19</v>
      </c>
      <c r="G269">
        <v>3854</v>
      </c>
      <c r="H269">
        <v>3575</v>
      </c>
      <c r="I269">
        <v>117</v>
      </c>
      <c r="J269">
        <v>360</v>
      </c>
      <c r="K269">
        <v>1</v>
      </c>
      <c r="L269" t="s">
        <v>32</v>
      </c>
      <c r="M269">
        <v>7429</v>
      </c>
      <c r="N269">
        <v>1.574909139857316E-2</v>
      </c>
      <c r="O269" t="s">
        <v>21</v>
      </c>
    </row>
    <row r="270" spans="1:15" x14ac:dyDescent="0.35">
      <c r="A270" t="s">
        <v>295</v>
      </c>
      <c r="B270" t="s">
        <v>16</v>
      </c>
      <c r="C270" t="s">
        <v>17</v>
      </c>
      <c r="D270">
        <v>2</v>
      </c>
      <c r="E270" t="s">
        <v>18</v>
      </c>
      <c r="F270" t="s">
        <v>19</v>
      </c>
      <c r="G270">
        <v>5833</v>
      </c>
      <c r="H270">
        <v>750</v>
      </c>
      <c r="I270">
        <v>49</v>
      </c>
      <c r="J270">
        <v>360</v>
      </c>
      <c r="K270">
        <v>0</v>
      </c>
      <c r="L270" t="s">
        <v>32</v>
      </c>
      <c r="M270">
        <v>6583</v>
      </c>
      <c r="N270">
        <v>7.4434148564484284E-3</v>
      </c>
      <c r="O270" t="s">
        <v>33</v>
      </c>
    </row>
    <row r="271" spans="1:15" x14ac:dyDescent="0.35">
      <c r="A271" t="s">
        <v>296</v>
      </c>
      <c r="B271" t="s">
        <v>16</v>
      </c>
      <c r="C271" t="s">
        <v>19</v>
      </c>
      <c r="D271">
        <v>0</v>
      </c>
      <c r="E271" t="s">
        <v>18</v>
      </c>
      <c r="F271" t="s">
        <v>19</v>
      </c>
      <c r="G271">
        <v>3508</v>
      </c>
      <c r="H271">
        <v>0</v>
      </c>
      <c r="I271">
        <v>99</v>
      </c>
      <c r="J271">
        <v>360</v>
      </c>
      <c r="K271">
        <v>1</v>
      </c>
      <c r="L271" t="s">
        <v>32</v>
      </c>
      <c r="M271">
        <v>3508</v>
      </c>
      <c r="N271">
        <v>2.8221208665906501E-2</v>
      </c>
      <c r="O271" t="s">
        <v>21</v>
      </c>
    </row>
    <row r="272" spans="1:15" x14ac:dyDescent="0.35">
      <c r="A272" t="s">
        <v>297</v>
      </c>
      <c r="B272" t="s">
        <v>29</v>
      </c>
      <c r="C272" t="s">
        <v>17</v>
      </c>
      <c r="D272" t="s">
        <v>39</v>
      </c>
      <c r="E272" t="s">
        <v>26</v>
      </c>
      <c r="F272" t="s">
        <v>19</v>
      </c>
      <c r="G272">
        <v>1635</v>
      </c>
      <c r="H272">
        <v>2444</v>
      </c>
      <c r="I272">
        <v>99</v>
      </c>
      <c r="J272">
        <v>360</v>
      </c>
      <c r="K272">
        <v>1</v>
      </c>
      <c r="L272" t="s">
        <v>20</v>
      </c>
      <c r="M272">
        <v>4079</v>
      </c>
      <c r="N272">
        <v>2.4270654572199069E-2</v>
      </c>
      <c r="O272" t="s">
        <v>21</v>
      </c>
    </row>
    <row r="273" spans="1:15" x14ac:dyDescent="0.35">
      <c r="A273" t="s">
        <v>298</v>
      </c>
      <c r="B273" t="s">
        <v>29</v>
      </c>
      <c r="C273" t="s">
        <v>19</v>
      </c>
      <c r="D273">
        <v>0</v>
      </c>
      <c r="E273" t="s">
        <v>18</v>
      </c>
      <c r="F273" t="s">
        <v>17</v>
      </c>
      <c r="G273">
        <v>3333</v>
      </c>
      <c r="H273">
        <v>3916</v>
      </c>
      <c r="I273">
        <v>212</v>
      </c>
      <c r="J273">
        <v>360</v>
      </c>
      <c r="K273">
        <v>1</v>
      </c>
      <c r="L273" t="s">
        <v>32</v>
      </c>
      <c r="M273">
        <v>7249</v>
      </c>
      <c r="N273">
        <v>2.9245413160435919E-2</v>
      </c>
      <c r="O273" t="s">
        <v>21</v>
      </c>
    </row>
    <row r="274" spans="1:15" x14ac:dyDescent="0.35">
      <c r="A274" t="s">
        <v>299</v>
      </c>
      <c r="B274" t="s">
        <v>16</v>
      </c>
      <c r="C274" t="s">
        <v>19</v>
      </c>
      <c r="D274">
        <v>1</v>
      </c>
      <c r="E274" t="s">
        <v>18</v>
      </c>
      <c r="F274" t="s">
        <v>19</v>
      </c>
      <c r="G274">
        <v>24797</v>
      </c>
      <c r="H274">
        <v>0</v>
      </c>
      <c r="I274">
        <v>240</v>
      </c>
      <c r="J274">
        <v>360</v>
      </c>
      <c r="K274">
        <v>1</v>
      </c>
      <c r="L274" t="s">
        <v>30</v>
      </c>
      <c r="M274">
        <v>24797</v>
      </c>
      <c r="N274">
        <v>9.6785901520345195E-3</v>
      </c>
      <c r="O274" t="s">
        <v>21</v>
      </c>
    </row>
    <row r="275" spans="1:15" x14ac:dyDescent="0.35">
      <c r="A275" t="s">
        <v>300</v>
      </c>
      <c r="B275" t="s">
        <v>16</v>
      </c>
      <c r="C275" t="s">
        <v>17</v>
      </c>
      <c r="D275">
        <v>2</v>
      </c>
      <c r="E275" t="s">
        <v>18</v>
      </c>
      <c r="F275" t="s">
        <v>19</v>
      </c>
      <c r="G275">
        <v>5667</v>
      </c>
      <c r="H275">
        <v>440</v>
      </c>
      <c r="I275">
        <v>130</v>
      </c>
      <c r="J275">
        <v>360</v>
      </c>
      <c r="K275">
        <v>0</v>
      </c>
      <c r="L275" t="s">
        <v>30</v>
      </c>
      <c r="M275">
        <v>6107</v>
      </c>
      <c r="N275">
        <v>2.128704765023743E-2</v>
      </c>
      <c r="O275" t="s">
        <v>33</v>
      </c>
    </row>
    <row r="276" spans="1:15" x14ac:dyDescent="0.35">
      <c r="A276" t="s">
        <v>301</v>
      </c>
      <c r="B276" t="s">
        <v>29</v>
      </c>
      <c r="C276" t="s">
        <v>19</v>
      </c>
      <c r="D276">
        <v>0</v>
      </c>
      <c r="E276" t="s">
        <v>18</v>
      </c>
      <c r="F276" t="s">
        <v>19</v>
      </c>
      <c r="G276">
        <v>3500</v>
      </c>
      <c r="H276">
        <v>0</v>
      </c>
      <c r="I276">
        <v>94</v>
      </c>
      <c r="J276">
        <v>360</v>
      </c>
      <c r="K276">
        <v>0</v>
      </c>
      <c r="L276" t="s">
        <v>30</v>
      </c>
      <c r="M276">
        <v>3500</v>
      </c>
      <c r="N276">
        <v>2.6857142857142861E-2</v>
      </c>
      <c r="O276" t="s">
        <v>33</v>
      </c>
    </row>
    <row r="277" spans="1:15" x14ac:dyDescent="0.35">
      <c r="A277" t="s">
        <v>302</v>
      </c>
      <c r="B277" t="s">
        <v>16</v>
      </c>
      <c r="C277" t="s">
        <v>17</v>
      </c>
      <c r="D277" t="s">
        <v>39</v>
      </c>
      <c r="E277" t="s">
        <v>18</v>
      </c>
      <c r="F277" t="s">
        <v>19</v>
      </c>
      <c r="G277">
        <v>2773</v>
      </c>
      <c r="H277">
        <v>1497</v>
      </c>
      <c r="I277">
        <v>108</v>
      </c>
      <c r="J277">
        <v>360</v>
      </c>
      <c r="K277">
        <v>1</v>
      </c>
      <c r="L277" t="s">
        <v>30</v>
      </c>
      <c r="M277">
        <v>4270</v>
      </c>
      <c r="N277">
        <v>2.5292740046838409E-2</v>
      </c>
      <c r="O277" t="s">
        <v>21</v>
      </c>
    </row>
    <row r="278" spans="1:15" x14ac:dyDescent="0.35">
      <c r="A278" t="s">
        <v>303</v>
      </c>
      <c r="B278" t="s">
        <v>16</v>
      </c>
      <c r="C278" t="s">
        <v>17</v>
      </c>
      <c r="D278">
        <v>0</v>
      </c>
      <c r="E278" t="s">
        <v>18</v>
      </c>
      <c r="F278" t="s">
        <v>19</v>
      </c>
      <c r="G278">
        <v>6500</v>
      </c>
      <c r="H278">
        <v>0</v>
      </c>
      <c r="I278">
        <v>144</v>
      </c>
      <c r="J278">
        <v>360</v>
      </c>
      <c r="K278">
        <v>1</v>
      </c>
      <c r="L278" t="s">
        <v>20</v>
      </c>
      <c r="M278">
        <v>6500</v>
      </c>
      <c r="N278">
        <v>2.2153846153846149E-2</v>
      </c>
      <c r="O278" t="s">
        <v>21</v>
      </c>
    </row>
    <row r="279" spans="1:15" x14ac:dyDescent="0.35">
      <c r="A279" t="s">
        <v>304</v>
      </c>
      <c r="B279" t="s">
        <v>29</v>
      </c>
      <c r="C279" t="s">
        <v>19</v>
      </c>
      <c r="D279">
        <v>0</v>
      </c>
      <c r="E279" t="s">
        <v>18</v>
      </c>
      <c r="F279" t="s">
        <v>19</v>
      </c>
      <c r="G279">
        <v>5769</v>
      </c>
      <c r="H279">
        <v>0</v>
      </c>
      <c r="I279">
        <v>110</v>
      </c>
      <c r="J279">
        <v>180</v>
      </c>
      <c r="K279">
        <v>1</v>
      </c>
      <c r="L279" t="s">
        <v>30</v>
      </c>
      <c r="M279">
        <v>5769</v>
      </c>
      <c r="N279">
        <v>1.9067429363841221E-2</v>
      </c>
      <c r="O279" t="s">
        <v>21</v>
      </c>
    </row>
    <row r="280" spans="1:15" x14ac:dyDescent="0.35">
      <c r="A280" t="s">
        <v>305</v>
      </c>
      <c r="B280" t="s">
        <v>16</v>
      </c>
      <c r="C280" t="s">
        <v>17</v>
      </c>
      <c r="D280" t="s">
        <v>39</v>
      </c>
      <c r="E280" t="s">
        <v>26</v>
      </c>
      <c r="F280" t="s">
        <v>19</v>
      </c>
      <c r="G280">
        <v>3634</v>
      </c>
      <c r="H280">
        <v>910</v>
      </c>
      <c r="I280">
        <v>176</v>
      </c>
      <c r="J280">
        <v>360</v>
      </c>
      <c r="K280">
        <v>0</v>
      </c>
      <c r="L280" t="s">
        <v>30</v>
      </c>
      <c r="M280">
        <v>4544</v>
      </c>
      <c r="N280">
        <v>3.873239436619718E-2</v>
      </c>
      <c r="O280" t="s">
        <v>33</v>
      </c>
    </row>
    <row r="281" spans="1:15" x14ac:dyDescent="0.35">
      <c r="A281" t="s">
        <v>306</v>
      </c>
      <c r="B281" t="s">
        <v>16</v>
      </c>
      <c r="C281" t="s">
        <v>19</v>
      </c>
      <c r="D281">
        <v>0</v>
      </c>
      <c r="E281" t="s">
        <v>18</v>
      </c>
      <c r="F281" t="s">
        <v>19</v>
      </c>
      <c r="G281">
        <v>29167</v>
      </c>
      <c r="H281">
        <v>0</v>
      </c>
      <c r="I281">
        <v>185</v>
      </c>
      <c r="J281">
        <v>360</v>
      </c>
      <c r="K281">
        <v>1</v>
      </c>
      <c r="L281" t="s">
        <v>30</v>
      </c>
      <c r="M281">
        <v>29167</v>
      </c>
      <c r="N281">
        <v>6.3427846538896696E-3</v>
      </c>
      <c r="O281" t="s">
        <v>21</v>
      </c>
    </row>
    <row r="282" spans="1:15" x14ac:dyDescent="0.35">
      <c r="A282" t="s">
        <v>307</v>
      </c>
      <c r="B282" t="s">
        <v>16</v>
      </c>
      <c r="C282" t="s">
        <v>19</v>
      </c>
      <c r="D282">
        <v>0</v>
      </c>
      <c r="E282" t="s">
        <v>18</v>
      </c>
      <c r="F282" t="s">
        <v>19</v>
      </c>
      <c r="G282">
        <v>2166</v>
      </c>
      <c r="H282">
        <v>2057</v>
      </c>
      <c r="I282">
        <v>122</v>
      </c>
      <c r="J282">
        <v>360</v>
      </c>
      <c r="K282">
        <v>1</v>
      </c>
      <c r="L282" t="s">
        <v>30</v>
      </c>
      <c r="M282">
        <v>4223</v>
      </c>
      <c r="N282">
        <v>2.8889415107743309E-2</v>
      </c>
      <c r="O282" t="s">
        <v>21</v>
      </c>
    </row>
    <row r="283" spans="1:15" x14ac:dyDescent="0.35">
      <c r="A283" t="s">
        <v>308</v>
      </c>
      <c r="B283" t="s">
        <v>16</v>
      </c>
      <c r="C283" t="s">
        <v>17</v>
      </c>
      <c r="D283">
        <v>0</v>
      </c>
      <c r="E283" t="s">
        <v>18</v>
      </c>
      <c r="F283" t="s">
        <v>19</v>
      </c>
      <c r="G283">
        <v>5000</v>
      </c>
      <c r="H283">
        <v>0</v>
      </c>
      <c r="I283">
        <v>126</v>
      </c>
      <c r="J283">
        <v>360</v>
      </c>
      <c r="K283">
        <v>1</v>
      </c>
      <c r="L283" t="s">
        <v>32</v>
      </c>
      <c r="M283">
        <v>5000</v>
      </c>
      <c r="N283">
        <v>2.52E-2</v>
      </c>
      <c r="O283" t="s">
        <v>21</v>
      </c>
    </row>
    <row r="284" spans="1:15" x14ac:dyDescent="0.35">
      <c r="A284" t="s">
        <v>309</v>
      </c>
      <c r="B284" t="s">
        <v>29</v>
      </c>
      <c r="C284" t="s">
        <v>19</v>
      </c>
      <c r="D284">
        <v>0</v>
      </c>
      <c r="E284" t="s">
        <v>18</v>
      </c>
      <c r="F284" t="s">
        <v>19</v>
      </c>
      <c r="G284">
        <v>5530</v>
      </c>
      <c r="H284">
        <v>0</v>
      </c>
      <c r="I284">
        <v>135</v>
      </c>
      <c r="J284">
        <v>360</v>
      </c>
      <c r="K284">
        <v>1</v>
      </c>
      <c r="L284" t="s">
        <v>20</v>
      </c>
      <c r="M284">
        <v>5530</v>
      </c>
      <c r="N284">
        <v>2.4412296564195302E-2</v>
      </c>
      <c r="O284" t="s">
        <v>21</v>
      </c>
    </row>
    <row r="285" spans="1:15" x14ac:dyDescent="0.35">
      <c r="A285" t="s">
        <v>310</v>
      </c>
      <c r="B285" t="s">
        <v>16</v>
      </c>
      <c r="C285" t="s">
        <v>19</v>
      </c>
      <c r="D285">
        <v>0</v>
      </c>
      <c r="E285" t="s">
        <v>26</v>
      </c>
      <c r="F285" t="s">
        <v>19</v>
      </c>
      <c r="G285">
        <v>9000</v>
      </c>
      <c r="H285">
        <v>0</v>
      </c>
      <c r="I285">
        <v>122</v>
      </c>
      <c r="J285">
        <v>360</v>
      </c>
      <c r="K285">
        <v>1</v>
      </c>
      <c r="L285" t="s">
        <v>32</v>
      </c>
      <c r="M285">
        <v>9000</v>
      </c>
      <c r="N285">
        <v>1.355555555555556E-2</v>
      </c>
      <c r="O285" t="s">
        <v>21</v>
      </c>
    </row>
    <row r="286" spans="1:15" x14ac:dyDescent="0.35">
      <c r="A286" t="s">
        <v>311</v>
      </c>
      <c r="B286" t="s">
        <v>29</v>
      </c>
      <c r="C286" t="s">
        <v>17</v>
      </c>
      <c r="D286">
        <v>2</v>
      </c>
      <c r="E286" t="s">
        <v>18</v>
      </c>
      <c r="F286" t="s">
        <v>19</v>
      </c>
      <c r="G286">
        <v>10000</v>
      </c>
      <c r="H286">
        <v>11666</v>
      </c>
      <c r="I286">
        <v>460</v>
      </c>
      <c r="J286">
        <v>360</v>
      </c>
      <c r="K286">
        <v>1</v>
      </c>
      <c r="L286" t="s">
        <v>20</v>
      </c>
      <c r="M286">
        <v>21666</v>
      </c>
      <c r="N286">
        <v>2.1231422505307851E-2</v>
      </c>
      <c r="O286" t="s">
        <v>21</v>
      </c>
    </row>
    <row r="287" spans="1:15" x14ac:dyDescent="0.35">
      <c r="A287" t="s">
        <v>312</v>
      </c>
      <c r="B287" t="s">
        <v>16</v>
      </c>
      <c r="C287" t="s">
        <v>17</v>
      </c>
      <c r="D287">
        <v>1</v>
      </c>
      <c r="E287" t="s">
        <v>18</v>
      </c>
      <c r="F287" t="s">
        <v>19</v>
      </c>
      <c r="G287">
        <v>8750</v>
      </c>
      <c r="H287">
        <v>0</v>
      </c>
      <c r="I287">
        <v>297</v>
      </c>
      <c r="J287">
        <v>360</v>
      </c>
      <c r="K287">
        <v>1</v>
      </c>
      <c r="L287" t="s">
        <v>20</v>
      </c>
      <c r="M287">
        <v>8750</v>
      </c>
      <c r="N287">
        <v>3.3942857142857143E-2</v>
      </c>
      <c r="O287" t="s">
        <v>21</v>
      </c>
    </row>
    <row r="288" spans="1:15" x14ac:dyDescent="0.35">
      <c r="A288" t="s">
        <v>313</v>
      </c>
      <c r="B288" t="s">
        <v>16</v>
      </c>
      <c r="C288" t="s">
        <v>17</v>
      </c>
      <c r="D288">
        <v>0</v>
      </c>
      <c r="E288" t="s">
        <v>26</v>
      </c>
      <c r="F288" t="s">
        <v>19</v>
      </c>
      <c r="G288">
        <v>2157</v>
      </c>
      <c r="H288">
        <v>2730</v>
      </c>
      <c r="I288">
        <v>140</v>
      </c>
      <c r="J288">
        <v>360</v>
      </c>
      <c r="K288">
        <v>1</v>
      </c>
      <c r="L288" t="s">
        <v>32</v>
      </c>
      <c r="M288">
        <v>4887</v>
      </c>
      <c r="N288">
        <v>2.864743196234909E-2</v>
      </c>
      <c r="O288" t="s">
        <v>21</v>
      </c>
    </row>
    <row r="289" spans="1:15" x14ac:dyDescent="0.35">
      <c r="A289" t="s">
        <v>314</v>
      </c>
      <c r="B289" t="s">
        <v>16</v>
      </c>
      <c r="C289" t="s">
        <v>19</v>
      </c>
      <c r="D289">
        <v>0</v>
      </c>
      <c r="E289" t="s">
        <v>18</v>
      </c>
      <c r="F289" t="s">
        <v>19</v>
      </c>
      <c r="G289">
        <v>1972</v>
      </c>
      <c r="H289">
        <v>4347</v>
      </c>
      <c r="I289">
        <v>106</v>
      </c>
      <c r="J289">
        <v>360</v>
      </c>
      <c r="K289">
        <v>1</v>
      </c>
      <c r="L289" t="s">
        <v>32</v>
      </c>
      <c r="M289">
        <v>6319</v>
      </c>
      <c r="N289">
        <v>1.677480614021206E-2</v>
      </c>
      <c r="O289" t="s">
        <v>21</v>
      </c>
    </row>
    <row r="290" spans="1:15" x14ac:dyDescent="0.35">
      <c r="A290" t="s">
        <v>315</v>
      </c>
      <c r="B290" t="s">
        <v>16</v>
      </c>
      <c r="C290" t="s">
        <v>19</v>
      </c>
      <c r="D290">
        <v>0</v>
      </c>
      <c r="E290" t="s">
        <v>18</v>
      </c>
      <c r="F290" t="s">
        <v>19</v>
      </c>
      <c r="G290">
        <v>4983</v>
      </c>
      <c r="H290">
        <v>0</v>
      </c>
      <c r="I290">
        <v>141</v>
      </c>
      <c r="J290">
        <v>360</v>
      </c>
      <c r="K290">
        <v>1</v>
      </c>
      <c r="L290" t="s">
        <v>20</v>
      </c>
      <c r="M290">
        <v>4983</v>
      </c>
      <c r="N290">
        <v>2.829620710415412E-2</v>
      </c>
      <c r="O290" t="s">
        <v>21</v>
      </c>
    </row>
    <row r="291" spans="1:15" x14ac:dyDescent="0.35">
      <c r="A291" t="s">
        <v>316</v>
      </c>
      <c r="B291" t="s">
        <v>16</v>
      </c>
      <c r="C291" t="s">
        <v>17</v>
      </c>
      <c r="D291">
        <v>1</v>
      </c>
      <c r="E291" t="s">
        <v>18</v>
      </c>
      <c r="F291" t="s">
        <v>19</v>
      </c>
      <c r="G291">
        <v>8333</v>
      </c>
      <c r="H291">
        <v>4000</v>
      </c>
      <c r="I291">
        <v>125</v>
      </c>
      <c r="J291">
        <v>360</v>
      </c>
      <c r="K291">
        <v>1</v>
      </c>
      <c r="L291" t="s">
        <v>20</v>
      </c>
      <c r="M291">
        <v>12333</v>
      </c>
      <c r="N291">
        <v>1.013540906510987E-2</v>
      </c>
      <c r="O291" t="s">
        <v>21</v>
      </c>
    </row>
    <row r="292" spans="1:15" x14ac:dyDescent="0.35">
      <c r="A292" t="s">
        <v>317</v>
      </c>
      <c r="B292" t="s">
        <v>16</v>
      </c>
      <c r="C292" t="s">
        <v>17</v>
      </c>
      <c r="D292">
        <v>0</v>
      </c>
      <c r="E292" t="s">
        <v>18</v>
      </c>
      <c r="F292" t="s">
        <v>19</v>
      </c>
      <c r="G292">
        <v>3667</v>
      </c>
      <c r="H292">
        <v>2000</v>
      </c>
      <c r="I292">
        <v>170</v>
      </c>
      <c r="J292">
        <v>360</v>
      </c>
      <c r="K292">
        <v>1</v>
      </c>
      <c r="L292" t="s">
        <v>30</v>
      </c>
      <c r="M292">
        <v>5667</v>
      </c>
      <c r="N292">
        <v>2.999823539791777E-2</v>
      </c>
      <c r="O292" t="s">
        <v>21</v>
      </c>
    </row>
    <row r="293" spans="1:15" x14ac:dyDescent="0.35">
      <c r="A293" t="s">
        <v>318</v>
      </c>
      <c r="B293" t="s">
        <v>16</v>
      </c>
      <c r="C293" t="s">
        <v>17</v>
      </c>
      <c r="D293">
        <v>2</v>
      </c>
      <c r="E293" t="s">
        <v>18</v>
      </c>
      <c r="F293" t="s">
        <v>19</v>
      </c>
      <c r="G293">
        <v>3166</v>
      </c>
      <c r="H293">
        <v>2833</v>
      </c>
      <c r="I293">
        <v>145</v>
      </c>
      <c r="J293">
        <v>360</v>
      </c>
      <c r="K293">
        <v>1</v>
      </c>
      <c r="L293" t="s">
        <v>20</v>
      </c>
      <c r="M293">
        <v>5999</v>
      </c>
      <c r="N293">
        <v>2.4170695115852639E-2</v>
      </c>
      <c r="O293" t="s">
        <v>21</v>
      </c>
    </row>
    <row r="294" spans="1:15" x14ac:dyDescent="0.35">
      <c r="A294" t="s">
        <v>319</v>
      </c>
      <c r="B294" t="s">
        <v>16</v>
      </c>
      <c r="C294" t="s">
        <v>19</v>
      </c>
      <c r="D294">
        <v>0</v>
      </c>
      <c r="E294" t="s">
        <v>26</v>
      </c>
      <c r="F294" t="s">
        <v>19</v>
      </c>
      <c r="G294">
        <v>3271</v>
      </c>
      <c r="H294">
        <v>0</v>
      </c>
      <c r="I294">
        <v>90</v>
      </c>
      <c r="J294">
        <v>360</v>
      </c>
      <c r="K294">
        <v>1</v>
      </c>
      <c r="L294" t="s">
        <v>32</v>
      </c>
      <c r="M294">
        <v>3271</v>
      </c>
      <c r="N294">
        <v>2.751452155304188E-2</v>
      </c>
      <c r="O294" t="s">
        <v>21</v>
      </c>
    </row>
    <row r="295" spans="1:15" x14ac:dyDescent="0.35">
      <c r="A295" t="s">
        <v>320</v>
      </c>
      <c r="B295" t="s">
        <v>29</v>
      </c>
      <c r="C295" t="s">
        <v>17</v>
      </c>
      <c r="D295">
        <v>0</v>
      </c>
      <c r="E295" t="s">
        <v>18</v>
      </c>
      <c r="F295" t="s">
        <v>19</v>
      </c>
      <c r="G295">
        <v>2241</v>
      </c>
      <c r="H295">
        <v>2000</v>
      </c>
      <c r="I295">
        <v>88</v>
      </c>
      <c r="J295">
        <v>360</v>
      </c>
      <c r="K295">
        <v>0</v>
      </c>
      <c r="L295" t="s">
        <v>20</v>
      </c>
      <c r="M295">
        <v>4241</v>
      </c>
      <c r="N295">
        <v>2.0749823154916289E-2</v>
      </c>
      <c r="O295" t="s">
        <v>33</v>
      </c>
    </row>
    <row r="296" spans="1:15" x14ac:dyDescent="0.35">
      <c r="A296" t="s">
        <v>321</v>
      </c>
      <c r="B296" t="s">
        <v>16</v>
      </c>
      <c r="C296" t="s">
        <v>17</v>
      </c>
      <c r="D296">
        <v>1</v>
      </c>
      <c r="E296" t="s">
        <v>26</v>
      </c>
      <c r="F296" t="s">
        <v>19</v>
      </c>
      <c r="G296">
        <v>1792</v>
      </c>
      <c r="H296">
        <v>2565</v>
      </c>
      <c r="I296">
        <v>128</v>
      </c>
      <c r="J296">
        <v>360</v>
      </c>
      <c r="K296">
        <v>1</v>
      </c>
      <c r="L296" t="s">
        <v>20</v>
      </c>
      <c r="M296">
        <v>4357</v>
      </c>
      <c r="N296">
        <v>2.937801239384898E-2</v>
      </c>
      <c r="O296" t="s">
        <v>21</v>
      </c>
    </row>
    <row r="297" spans="1:15" x14ac:dyDescent="0.35">
      <c r="A297" t="s">
        <v>322</v>
      </c>
      <c r="B297" t="s">
        <v>29</v>
      </c>
      <c r="C297" t="s">
        <v>17</v>
      </c>
      <c r="D297">
        <v>0</v>
      </c>
      <c r="E297" t="s">
        <v>18</v>
      </c>
      <c r="F297" t="s">
        <v>19</v>
      </c>
      <c r="G297">
        <v>2666</v>
      </c>
      <c r="H297">
        <v>0</v>
      </c>
      <c r="I297">
        <v>84</v>
      </c>
      <c r="J297">
        <v>480</v>
      </c>
      <c r="K297">
        <v>1</v>
      </c>
      <c r="L297" t="s">
        <v>30</v>
      </c>
      <c r="M297">
        <v>2666</v>
      </c>
      <c r="N297">
        <v>3.1507876969242309E-2</v>
      </c>
      <c r="O297" t="s">
        <v>21</v>
      </c>
    </row>
    <row r="298" spans="1:15" x14ac:dyDescent="0.35">
      <c r="A298" t="s">
        <v>323</v>
      </c>
      <c r="B298" t="s">
        <v>16</v>
      </c>
      <c r="C298" t="s">
        <v>19</v>
      </c>
      <c r="D298">
        <v>0</v>
      </c>
      <c r="E298" t="s">
        <v>18</v>
      </c>
      <c r="F298" t="s">
        <v>19</v>
      </c>
      <c r="G298">
        <v>6478</v>
      </c>
      <c r="H298">
        <v>0</v>
      </c>
      <c r="I298">
        <v>108</v>
      </c>
      <c r="J298">
        <v>360</v>
      </c>
      <c r="K298">
        <v>1</v>
      </c>
      <c r="L298" t="s">
        <v>30</v>
      </c>
      <c r="M298">
        <v>6478</v>
      </c>
      <c r="N298">
        <v>1.6671812287743129E-2</v>
      </c>
      <c r="O298" t="s">
        <v>21</v>
      </c>
    </row>
    <row r="299" spans="1:15" x14ac:dyDescent="0.35">
      <c r="A299" t="s">
        <v>324</v>
      </c>
      <c r="B299" t="s">
        <v>16</v>
      </c>
      <c r="C299" t="s">
        <v>19</v>
      </c>
      <c r="D299">
        <v>0</v>
      </c>
      <c r="E299" t="s">
        <v>26</v>
      </c>
      <c r="F299" t="s">
        <v>19</v>
      </c>
      <c r="G299">
        <v>3808</v>
      </c>
      <c r="H299">
        <v>0</v>
      </c>
      <c r="I299">
        <v>83</v>
      </c>
      <c r="J299">
        <v>360</v>
      </c>
      <c r="K299">
        <v>1</v>
      </c>
      <c r="L299" t="s">
        <v>32</v>
      </c>
      <c r="M299">
        <v>3808</v>
      </c>
      <c r="N299">
        <v>2.179621848739496E-2</v>
      </c>
      <c r="O299" t="s">
        <v>21</v>
      </c>
    </row>
    <row r="300" spans="1:15" x14ac:dyDescent="0.35">
      <c r="A300" t="s">
        <v>325</v>
      </c>
      <c r="B300" t="s">
        <v>29</v>
      </c>
      <c r="C300" t="s">
        <v>17</v>
      </c>
      <c r="D300">
        <v>2</v>
      </c>
      <c r="E300" t="s">
        <v>26</v>
      </c>
      <c r="F300" t="s">
        <v>19</v>
      </c>
      <c r="G300">
        <v>3729</v>
      </c>
      <c r="H300">
        <v>0</v>
      </c>
      <c r="I300">
        <v>117</v>
      </c>
      <c r="J300">
        <v>360</v>
      </c>
      <c r="K300">
        <v>1</v>
      </c>
      <c r="L300" t="s">
        <v>30</v>
      </c>
      <c r="M300">
        <v>3729</v>
      </c>
      <c r="N300">
        <v>3.1375703942075617E-2</v>
      </c>
      <c r="O300" t="s">
        <v>21</v>
      </c>
    </row>
    <row r="301" spans="1:15" x14ac:dyDescent="0.35">
      <c r="A301" t="s">
        <v>326</v>
      </c>
      <c r="B301" t="s">
        <v>16</v>
      </c>
      <c r="C301" t="s">
        <v>17</v>
      </c>
      <c r="D301">
        <v>2</v>
      </c>
      <c r="E301" t="s">
        <v>18</v>
      </c>
      <c r="F301" t="s">
        <v>19</v>
      </c>
      <c r="G301">
        <v>4120</v>
      </c>
      <c r="H301">
        <v>0</v>
      </c>
      <c r="I301">
        <v>128</v>
      </c>
      <c r="J301">
        <v>360</v>
      </c>
      <c r="K301">
        <v>1</v>
      </c>
      <c r="L301" t="s">
        <v>32</v>
      </c>
      <c r="M301">
        <v>4120</v>
      </c>
      <c r="N301">
        <v>3.1067961165048539E-2</v>
      </c>
      <c r="O301" t="s">
        <v>21</v>
      </c>
    </row>
    <row r="302" spans="1:15" x14ac:dyDescent="0.35">
      <c r="A302" t="s">
        <v>327</v>
      </c>
      <c r="B302" t="s">
        <v>16</v>
      </c>
      <c r="C302" t="s">
        <v>17</v>
      </c>
      <c r="D302">
        <v>1</v>
      </c>
      <c r="E302" t="s">
        <v>18</v>
      </c>
      <c r="F302" t="s">
        <v>17</v>
      </c>
      <c r="G302">
        <v>7500</v>
      </c>
      <c r="H302">
        <v>0</v>
      </c>
      <c r="I302">
        <v>75</v>
      </c>
      <c r="J302">
        <v>360</v>
      </c>
      <c r="K302">
        <v>1</v>
      </c>
      <c r="L302" t="s">
        <v>20</v>
      </c>
      <c r="M302">
        <v>7500</v>
      </c>
      <c r="N302">
        <v>0.01</v>
      </c>
      <c r="O302" t="s">
        <v>21</v>
      </c>
    </row>
    <row r="303" spans="1:15" x14ac:dyDescent="0.35">
      <c r="A303" t="s">
        <v>328</v>
      </c>
      <c r="B303" t="s">
        <v>16</v>
      </c>
      <c r="C303" t="s">
        <v>17</v>
      </c>
      <c r="D303">
        <v>1</v>
      </c>
      <c r="E303" t="s">
        <v>18</v>
      </c>
      <c r="F303" t="s">
        <v>19</v>
      </c>
      <c r="G303">
        <v>6300</v>
      </c>
      <c r="H303">
        <v>0</v>
      </c>
      <c r="I303">
        <v>125</v>
      </c>
      <c r="J303">
        <v>360</v>
      </c>
      <c r="K303">
        <v>0</v>
      </c>
      <c r="L303" t="s">
        <v>20</v>
      </c>
      <c r="M303">
        <v>6300</v>
      </c>
      <c r="N303">
        <v>1.984126984126984E-2</v>
      </c>
      <c r="O303" t="s">
        <v>33</v>
      </c>
    </row>
    <row r="304" spans="1:15" x14ac:dyDescent="0.35">
      <c r="A304" t="s">
        <v>329</v>
      </c>
      <c r="B304" t="s">
        <v>29</v>
      </c>
      <c r="C304" t="s">
        <v>19</v>
      </c>
      <c r="D304">
        <v>0</v>
      </c>
      <c r="E304" t="s">
        <v>18</v>
      </c>
      <c r="F304" t="s">
        <v>17</v>
      </c>
      <c r="G304">
        <v>14987</v>
      </c>
      <c r="H304">
        <v>0</v>
      </c>
      <c r="I304">
        <v>177</v>
      </c>
      <c r="J304">
        <v>360</v>
      </c>
      <c r="K304">
        <v>1</v>
      </c>
      <c r="L304" t="s">
        <v>32</v>
      </c>
      <c r="M304">
        <v>14987</v>
      </c>
      <c r="N304">
        <v>1.18102355374658E-2</v>
      </c>
      <c r="O304" t="s">
        <v>21</v>
      </c>
    </row>
    <row r="305" spans="1:15" x14ac:dyDescent="0.35">
      <c r="A305" t="s">
        <v>330</v>
      </c>
      <c r="B305" t="s">
        <v>16</v>
      </c>
      <c r="C305" t="s">
        <v>17</v>
      </c>
      <c r="D305">
        <v>1</v>
      </c>
      <c r="E305" t="s">
        <v>26</v>
      </c>
      <c r="F305" t="s">
        <v>17</v>
      </c>
      <c r="G305">
        <v>570</v>
      </c>
      <c r="H305">
        <v>2125</v>
      </c>
      <c r="I305">
        <v>68</v>
      </c>
      <c r="J305">
        <v>360</v>
      </c>
      <c r="K305">
        <v>1</v>
      </c>
      <c r="L305" t="s">
        <v>32</v>
      </c>
      <c r="M305">
        <v>2695</v>
      </c>
      <c r="N305">
        <v>2.5231910946196659E-2</v>
      </c>
      <c r="O305" t="s">
        <v>21</v>
      </c>
    </row>
    <row r="306" spans="1:15" x14ac:dyDescent="0.35">
      <c r="A306" t="s">
        <v>331</v>
      </c>
      <c r="B306" t="s">
        <v>16</v>
      </c>
      <c r="C306" t="s">
        <v>17</v>
      </c>
      <c r="D306">
        <v>0</v>
      </c>
      <c r="E306" t="s">
        <v>18</v>
      </c>
      <c r="F306" t="s">
        <v>19</v>
      </c>
      <c r="G306">
        <v>2600</v>
      </c>
      <c r="H306">
        <v>700</v>
      </c>
      <c r="I306">
        <v>96</v>
      </c>
      <c r="J306">
        <v>360</v>
      </c>
      <c r="K306">
        <v>1</v>
      </c>
      <c r="L306" t="s">
        <v>30</v>
      </c>
      <c r="M306">
        <v>3300</v>
      </c>
      <c r="N306">
        <v>2.9090909090909091E-2</v>
      </c>
      <c r="O306" t="s">
        <v>21</v>
      </c>
    </row>
    <row r="307" spans="1:15" x14ac:dyDescent="0.35">
      <c r="A307" t="s">
        <v>332</v>
      </c>
      <c r="B307" t="s">
        <v>16</v>
      </c>
      <c r="C307" t="s">
        <v>19</v>
      </c>
      <c r="D307">
        <v>2</v>
      </c>
      <c r="E307" t="s">
        <v>26</v>
      </c>
      <c r="F307" t="s">
        <v>19</v>
      </c>
      <c r="G307">
        <v>2733</v>
      </c>
      <c r="H307">
        <v>1083</v>
      </c>
      <c r="I307">
        <v>180</v>
      </c>
      <c r="J307">
        <v>360</v>
      </c>
      <c r="K307">
        <v>1</v>
      </c>
      <c r="L307" t="s">
        <v>30</v>
      </c>
      <c r="M307">
        <v>3816</v>
      </c>
      <c r="N307">
        <v>4.716981132075472E-2</v>
      </c>
      <c r="O307" t="s">
        <v>21</v>
      </c>
    </row>
    <row r="308" spans="1:15" x14ac:dyDescent="0.35">
      <c r="A308" t="s">
        <v>333</v>
      </c>
      <c r="B308" t="s">
        <v>16</v>
      </c>
      <c r="C308" t="s">
        <v>17</v>
      </c>
      <c r="D308">
        <v>2</v>
      </c>
      <c r="E308" t="s">
        <v>18</v>
      </c>
      <c r="F308" t="s">
        <v>17</v>
      </c>
      <c r="G308">
        <v>7500</v>
      </c>
      <c r="H308">
        <v>0</v>
      </c>
      <c r="I308">
        <v>183</v>
      </c>
      <c r="J308">
        <v>360</v>
      </c>
      <c r="K308">
        <v>1</v>
      </c>
      <c r="L308" t="s">
        <v>32</v>
      </c>
      <c r="M308">
        <v>7500</v>
      </c>
      <c r="N308">
        <v>2.4400000000000002E-2</v>
      </c>
      <c r="O308" t="s">
        <v>21</v>
      </c>
    </row>
    <row r="309" spans="1:15" x14ac:dyDescent="0.35">
      <c r="A309" t="s">
        <v>334</v>
      </c>
      <c r="B309" t="s">
        <v>16</v>
      </c>
      <c r="C309" t="s">
        <v>17</v>
      </c>
      <c r="D309">
        <v>2</v>
      </c>
      <c r="E309" t="s">
        <v>26</v>
      </c>
      <c r="F309" t="s">
        <v>19</v>
      </c>
      <c r="G309">
        <v>3859</v>
      </c>
      <c r="H309">
        <v>0</v>
      </c>
      <c r="I309">
        <v>121</v>
      </c>
      <c r="J309">
        <v>360</v>
      </c>
      <c r="K309">
        <v>1</v>
      </c>
      <c r="L309" t="s">
        <v>32</v>
      </c>
      <c r="M309">
        <v>3859</v>
      </c>
      <c r="N309">
        <v>3.1355273386887803E-2</v>
      </c>
      <c r="O309" t="s">
        <v>21</v>
      </c>
    </row>
    <row r="310" spans="1:15" x14ac:dyDescent="0.35">
      <c r="A310" t="s">
        <v>335</v>
      </c>
      <c r="B310" t="s">
        <v>16</v>
      </c>
      <c r="C310" t="s">
        <v>17</v>
      </c>
      <c r="D310">
        <v>1</v>
      </c>
      <c r="E310" t="s">
        <v>18</v>
      </c>
      <c r="F310" t="s">
        <v>19</v>
      </c>
      <c r="G310">
        <v>6825</v>
      </c>
      <c r="H310">
        <v>0</v>
      </c>
      <c r="I310">
        <v>162</v>
      </c>
      <c r="J310">
        <v>360</v>
      </c>
      <c r="K310">
        <v>1</v>
      </c>
      <c r="L310" t="s">
        <v>32</v>
      </c>
      <c r="M310">
        <v>6825</v>
      </c>
      <c r="N310">
        <v>2.3736263736263741E-2</v>
      </c>
      <c r="O310" t="s">
        <v>21</v>
      </c>
    </row>
    <row r="311" spans="1:15" x14ac:dyDescent="0.35">
      <c r="A311" t="s">
        <v>336</v>
      </c>
      <c r="B311" t="s">
        <v>16</v>
      </c>
      <c r="C311" t="s">
        <v>17</v>
      </c>
      <c r="D311">
        <v>0</v>
      </c>
      <c r="E311" t="s">
        <v>18</v>
      </c>
      <c r="F311" t="s">
        <v>19</v>
      </c>
      <c r="G311">
        <v>3708</v>
      </c>
      <c r="H311">
        <v>4700</v>
      </c>
      <c r="I311">
        <v>132</v>
      </c>
      <c r="J311">
        <v>360</v>
      </c>
      <c r="K311">
        <v>1</v>
      </c>
      <c r="L311" t="s">
        <v>30</v>
      </c>
      <c r="M311">
        <v>8408</v>
      </c>
      <c r="N311">
        <v>1.5699333967649859E-2</v>
      </c>
      <c r="O311" t="s">
        <v>21</v>
      </c>
    </row>
    <row r="312" spans="1:15" x14ac:dyDescent="0.35">
      <c r="A312" t="s">
        <v>337</v>
      </c>
      <c r="B312" t="s">
        <v>16</v>
      </c>
      <c r="C312" t="s">
        <v>19</v>
      </c>
      <c r="D312">
        <v>0</v>
      </c>
      <c r="E312" t="s">
        <v>18</v>
      </c>
      <c r="F312" t="s">
        <v>19</v>
      </c>
      <c r="G312">
        <v>5314</v>
      </c>
      <c r="H312">
        <v>0</v>
      </c>
      <c r="I312">
        <v>147</v>
      </c>
      <c r="J312">
        <v>360</v>
      </c>
      <c r="K312">
        <v>1</v>
      </c>
      <c r="L312" t="s">
        <v>20</v>
      </c>
      <c r="M312">
        <v>5314</v>
      </c>
      <c r="N312">
        <v>2.766277756868649E-2</v>
      </c>
      <c r="O312" t="s">
        <v>21</v>
      </c>
    </row>
    <row r="313" spans="1:15" x14ac:dyDescent="0.35">
      <c r="A313" t="s">
        <v>338</v>
      </c>
      <c r="B313" t="s">
        <v>29</v>
      </c>
      <c r="C313" t="s">
        <v>19</v>
      </c>
      <c r="D313" t="s">
        <v>39</v>
      </c>
      <c r="E313" t="s">
        <v>18</v>
      </c>
      <c r="F313" t="s">
        <v>19</v>
      </c>
      <c r="G313">
        <v>2366</v>
      </c>
      <c r="H313">
        <v>5272</v>
      </c>
      <c r="I313">
        <v>153</v>
      </c>
      <c r="J313">
        <v>360</v>
      </c>
      <c r="K313">
        <v>0</v>
      </c>
      <c r="L313" t="s">
        <v>32</v>
      </c>
      <c r="M313">
        <v>7638</v>
      </c>
      <c r="N313">
        <v>2.0031421838177531E-2</v>
      </c>
      <c r="O313" t="s">
        <v>33</v>
      </c>
    </row>
    <row r="314" spans="1:15" x14ac:dyDescent="0.35">
      <c r="A314" t="s">
        <v>339</v>
      </c>
      <c r="B314" t="s">
        <v>16</v>
      </c>
      <c r="C314" t="s">
        <v>19</v>
      </c>
      <c r="D314">
        <v>0</v>
      </c>
      <c r="E314" t="s">
        <v>18</v>
      </c>
      <c r="F314" t="s">
        <v>19</v>
      </c>
      <c r="G314">
        <v>2066</v>
      </c>
      <c r="H314">
        <v>2108</v>
      </c>
      <c r="I314">
        <v>104</v>
      </c>
      <c r="J314">
        <v>84</v>
      </c>
      <c r="K314">
        <v>1</v>
      </c>
      <c r="L314" t="s">
        <v>20</v>
      </c>
      <c r="M314">
        <v>4174</v>
      </c>
      <c r="N314">
        <v>2.491614758025874E-2</v>
      </c>
      <c r="O314" t="s">
        <v>21</v>
      </c>
    </row>
    <row r="315" spans="1:15" x14ac:dyDescent="0.35">
      <c r="A315" t="s">
        <v>340</v>
      </c>
      <c r="B315" t="s">
        <v>16</v>
      </c>
      <c r="C315" t="s">
        <v>17</v>
      </c>
      <c r="D315">
        <v>2</v>
      </c>
      <c r="E315" t="s">
        <v>18</v>
      </c>
      <c r="F315" t="s">
        <v>19</v>
      </c>
      <c r="G315">
        <v>5000</v>
      </c>
      <c r="H315">
        <v>0</v>
      </c>
      <c r="I315">
        <v>149</v>
      </c>
      <c r="J315">
        <v>360</v>
      </c>
      <c r="K315">
        <v>1</v>
      </c>
      <c r="L315" t="s">
        <v>32</v>
      </c>
      <c r="M315">
        <v>5000</v>
      </c>
      <c r="N315">
        <v>2.98E-2</v>
      </c>
      <c r="O315" t="s">
        <v>21</v>
      </c>
    </row>
    <row r="316" spans="1:15" x14ac:dyDescent="0.35">
      <c r="A316" t="s">
        <v>341</v>
      </c>
      <c r="B316" t="s">
        <v>29</v>
      </c>
      <c r="C316" t="s">
        <v>19</v>
      </c>
      <c r="D316">
        <v>0</v>
      </c>
      <c r="E316" t="s">
        <v>18</v>
      </c>
      <c r="F316" t="s">
        <v>19</v>
      </c>
      <c r="G316">
        <v>3767</v>
      </c>
      <c r="H316">
        <v>0</v>
      </c>
      <c r="I316">
        <v>134</v>
      </c>
      <c r="J316">
        <v>300</v>
      </c>
      <c r="K316">
        <v>1</v>
      </c>
      <c r="L316" t="s">
        <v>20</v>
      </c>
      <c r="M316">
        <v>3767</v>
      </c>
      <c r="N316">
        <v>3.5572073267852403E-2</v>
      </c>
      <c r="O316" t="s">
        <v>21</v>
      </c>
    </row>
    <row r="317" spans="1:15" x14ac:dyDescent="0.35">
      <c r="A317" t="s">
        <v>342</v>
      </c>
      <c r="B317" t="s">
        <v>29</v>
      </c>
      <c r="C317" t="s">
        <v>17</v>
      </c>
      <c r="D317">
        <v>0</v>
      </c>
      <c r="E317" t="s">
        <v>18</v>
      </c>
      <c r="F317" t="s">
        <v>19</v>
      </c>
      <c r="G317">
        <v>7859</v>
      </c>
      <c r="H317">
        <v>879</v>
      </c>
      <c r="I317">
        <v>165</v>
      </c>
      <c r="J317">
        <v>180</v>
      </c>
      <c r="K317">
        <v>1</v>
      </c>
      <c r="L317" t="s">
        <v>30</v>
      </c>
      <c r="M317">
        <v>8738</v>
      </c>
      <c r="N317">
        <v>1.8883039597161821E-2</v>
      </c>
      <c r="O317" t="s">
        <v>21</v>
      </c>
    </row>
    <row r="318" spans="1:15" x14ac:dyDescent="0.35">
      <c r="A318" t="s">
        <v>343</v>
      </c>
      <c r="B318" t="s">
        <v>29</v>
      </c>
      <c r="C318" t="s">
        <v>17</v>
      </c>
      <c r="D318">
        <v>0</v>
      </c>
      <c r="E318" t="s">
        <v>18</v>
      </c>
      <c r="F318" t="s">
        <v>19</v>
      </c>
      <c r="G318">
        <v>4283</v>
      </c>
      <c r="H318">
        <v>0</v>
      </c>
      <c r="I318">
        <v>120</v>
      </c>
      <c r="J318">
        <v>360</v>
      </c>
      <c r="K318">
        <v>1</v>
      </c>
      <c r="L318" t="s">
        <v>32</v>
      </c>
      <c r="M318">
        <v>4283</v>
      </c>
      <c r="N318">
        <v>2.8017744571561989E-2</v>
      </c>
      <c r="O318" t="s">
        <v>21</v>
      </c>
    </row>
    <row r="319" spans="1:15" x14ac:dyDescent="0.35">
      <c r="A319" t="s">
        <v>344</v>
      </c>
      <c r="B319" t="s">
        <v>16</v>
      </c>
      <c r="C319" t="s">
        <v>17</v>
      </c>
      <c r="D319">
        <v>0</v>
      </c>
      <c r="E319" t="s">
        <v>26</v>
      </c>
      <c r="F319" t="s">
        <v>19</v>
      </c>
      <c r="G319">
        <v>1700</v>
      </c>
      <c r="H319">
        <v>2900</v>
      </c>
      <c r="I319">
        <v>67</v>
      </c>
      <c r="J319">
        <v>360</v>
      </c>
      <c r="K319">
        <v>0</v>
      </c>
      <c r="L319" t="s">
        <v>20</v>
      </c>
      <c r="M319">
        <v>4600</v>
      </c>
      <c r="N319">
        <v>1.456521739130435E-2</v>
      </c>
      <c r="O319" t="s">
        <v>33</v>
      </c>
    </row>
    <row r="320" spans="1:15" x14ac:dyDescent="0.35">
      <c r="A320" t="s">
        <v>345</v>
      </c>
      <c r="B320" t="s">
        <v>16</v>
      </c>
      <c r="C320" t="s">
        <v>19</v>
      </c>
      <c r="D320">
        <v>0</v>
      </c>
      <c r="E320" t="s">
        <v>26</v>
      </c>
      <c r="F320" t="s">
        <v>19</v>
      </c>
      <c r="G320">
        <v>4768</v>
      </c>
      <c r="H320">
        <v>0</v>
      </c>
      <c r="I320">
        <v>125</v>
      </c>
      <c r="J320">
        <v>360</v>
      </c>
      <c r="K320">
        <v>1</v>
      </c>
      <c r="L320" t="s">
        <v>32</v>
      </c>
      <c r="M320">
        <v>4768</v>
      </c>
      <c r="N320">
        <v>2.6216442953020131E-2</v>
      </c>
      <c r="O320" t="s">
        <v>21</v>
      </c>
    </row>
    <row r="321" spans="1:15" x14ac:dyDescent="0.35">
      <c r="A321" t="s">
        <v>346</v>
      </c>
      <c r="B321" t="s">
        <v>16</v>
      </c>
      <c r="C321" t="s">
        <v>19</v>
      </c>
      <c r="D321">
        <v>0</v>
      </c>
      <c r="E321" t="s">
        <v>18</v>
      </c>
      <c r="F321" t="s">
        <v>19</v>
      </c>
      <c r="G321">
        <v>3083</v>
      </c>
      <c r="H321">
        <v>2738</v>
      </c>
      <c r="I321">
        <v>120</v>
      </c>
      <c r="J321">
        <v>360</v>
      </c>
      <c r="K321">
        <v>1</v>
      </c>
      <c r="L321" t="s">
        <v>20</v>
      </c>
      <c r="M321">
        <v>5821</v>
      </c>
      <c r="N321">
        <v>2.0615014602302011E-2</v>
      </c>
      <c r="O321" t="s">
        <v>21</v>
      </c>
    </row>
    <row r="322" spans="1:15" x14ac:dyDescent="0.35">
      <c r="A322" t="s">
        <v>347</v>
      </c>
      <c r="B322" t="s">
        <v>16</v>
      </c>
      <c r="C322" t="s">
        <v>17</v>
      </c>
      <c r="D322">
        <v>1</v>
      </c>
      <c r="E322" t="s">
        <v>18</v>
      </c>
      <c r="F322" t="s">
        <v>19</v>
      </c>
      <c r="G322">
        <v>2667</v>
      </c>
      <c r="H322">
        <v>1542</v>
      </c>
      <c r="I322">
        <v>148</v>
      </c>
      <c r="J322">
        <v>360</v>
      </c>
      <c r="K322">
        <v>1</v>
      </c>
      <c r="L322" t="s">
        <v>32</v>
      </c>
      <c r="M322">
        <v>4209</v>
      </c>
      <c r="N322">
        <v>3.5162746495604663E-2</v>
      </c>
      <c r="O322" t="s">
        <v>21</v>
      </c>
    </row>
    <row r="323" spans="1:15" x14ac:dyDescent="0.35">
      <c r="A323" t="s">
        <v>348</v>
      </c>
      <c r="B323" t="s">
        <v>29</v>
      </c>
      <c r="C323" t="s">
        <v>17</v>
      </c>
      <c r="D323">
        <v>0</v>
      </c>
      <c r="E323" t="s">
        <v>26</v>
      </c>
      <c r="F323" t="s">
        <v>19</v>
      </c>
      <c r="G323">
        <v>1647</v>
      </c>
      <c r="H323">
        <v>1762</v>
      </c>
      <c r="I323">
        <v>181</v>
      </c>
      <c r="J323">
        <v>360</v>
      </c>
      <c r="K323">
        <v>1</v>
      </c>
      <c r="L323" t="s">
        <v>20</v>
      </c>
      <c r="M323">
        <v>3409</v>
      </c>
      <c r="N323">
        <v>5.3094749193311822E-2</v>
      </c>
      <c r="O323" t="s">
        <v>21</v>
      </c>
    </row>
    <row r="324" spans="1:15" x14ac:dyDescent="0.35">
      <c r="A324" t="s">
        <v>349</v>
      </c>
      <c r="B324" t="s">
        <v>16</v>
      </c>
      <c r="C324" t="s">
        <v>17</v>
      </c>
      <c r="D324" t="s">
        <v>39</v>
      </c>
      <c r="E324" t="s">
        <v>18</v>
      </c>
      <c r="F324" t="s">
        <v>19</v>
      </c>
      <c r="G324">
        <v>3400</v>
      </c>
      <c r="H324">
        <v>0</v>
      </c>
      <c r="I324">
        <v>80</v>
      </c>
      <c r="J324">
        <v>120</v>
      </c>
      <c r="K324">
        <v>1</v>
      </c>
      <c r="L324" t="s">
        <v>20</v>
      </c>
      <c r="M324">
        <v>3400</v>
      </c>
      <c r="N324">
        <v>2.3529411764705879E-2</v>
      </c>
      <c r="O324" t="s">
        <v>21</v>
      </c>
    </row>
    <row r="325" spans="1:15" x14ac:dyDescent="0.35">
      <c r="A325" t="s">
        <v>350</v>
      </c>
      <c r="B325" t="s">
        <v>16</v>
      </c>
      <c r="C325" t="s">
        <v>19</v>
      </c>
      <c r="D325">
        <v>1</v>
      </c>
      <c r="E325" t="s">
        <v>18</v>
      </c>
      <c r="F325" t="s">
        <v>19</v>
      </c>
      <c r="G325">
        <v>16000</v>
      </c>
      <c r="H325">
        <v>5000</v>
      </c>
      <c r="I325">
        <v>40</v>
      </c>
      <c r="J325">
        <v>360</v>
      </c>
      <c r="K325">
        <v>1</v>
      </c>
      <c r="L325" t="s">
        <v>30</v>
      </c>
      <c r="M325">
        <v>21000</v>
      </c>
      <c r="N325">
        <v>1.904761904761905E-3</v>
      </c>
      <c r="O325" t="s">
        <v>21</v>
      </c>
    </row>
    <row r="326" spans="1:15" x14ac:dyDescent="0.35">
      <c r="A326" t="s">
        <v>351</v>
      </c>
      <c r="B326" t="s">
        <v>16</v>
      </c>
      <c r="C326" t="s">
        <v>17</v>
      </c>
      <c r="D326">
        <v>0</v>
      </c>
      <c r="E326" t="s">
        <v>18</v>
      </c>
      <c r="F326" t="s">
        <v>19</v>
      </c>
      <c r="G326">
        <v>5333</v>
      </c>
      <c r="H326">
        <v>0</v>
      </c>
      <c r="I326">
        <v>90</v>
      </c>
      <c r="J326">
        <v>360</v>
      </c>
      <c r="K326">
        <v>1</v>
      </c>
      <c r="L326" t="s">
        <v>32</v>
      </c>
      <c r="M326">
        <v>5333</v>
      </c>
      <c r="N326">
        <v>1.687605475342209E-2</v>
      </c>
      <c r="O326" t="s">
        <v>21</v>
      </c>
    </row>
    <row r="327" spans="1:15" x14ac:dyDescent="0.35">
      <c r="A327" t="s">
        <v>352</v>
      </c>
      <c r="B327" t="s">
        <v>16</v>
      </c>
      <c r="C327" t="s">
        <v>19</v>
      </c>
      <c r="D327">
        <v>0</v>
      </c>
      <c r="E327" t="s">
        <v>18</v>
      </c>
      <c r="F327" t="s">
        <v>19</v>
      </c>
      <c r="G327">
        <v>2875</v>
      </c>
      <c r="H327">
        <v>2416</v>
      </c>
      <c r="I327">
        <v>95</v>
      </c>
      <c r="J327">
        <v>6</v>
      </c>
      <c r="K327">
        <v>0</v>
      </c>
      <c r="L327" t="s">
        <v>30</v>
      </c>
      <c r="M327">
        <v>5291</v>
      </c>
      <c r="N327">
        <v>1.795501795501795E-2</v>
      </c>
      <c r="O327" t="s">
        <v>33</v>
      </c>
    </row>
    <row r="328" spans="1:15" x14ac:dyDescent="0.35">
      <c r="A328" t="s">
        <v>353</v>
      </c>
      <c r="B328" t="s">
        <v>16</v>
      </c>
      <c r="C328" t="s">
        <v>17</v>
      </c>
      <c r="D328">
        <v>1</v>
      </c>
      <c r="E328" t="s">
        <v>26</v>
      </c>
      <c r="F328" t="s">
        <v>19</v>
      </c>
      <c r="G328">
        <v>2600</v>
      </c>
      <c r="H328">
        <v>618</v>
      </c>
      <c r="I328">
        <v>122</v>
      </c>
      <c r="J328">
        <v>360</v>
      </c>
      <c r="K328">
        <v>1</v>
      </c>
      <c r="L328" t="s">
        <v>30</v>
      </c>
      <c r="M328">
        <v>3218</v>
      </c>
      <c r="N328">
        <v>3.791174642635177E-2</v>
      </c>
      <c r="O328" t="s">
        <v>21</v>
      </c>
    </row>
    <row r="329" spans="1:15" x14ac:dyDescent="0.35">
      <c r="A329" t="s">
        <v>354</v>
      </c>
      <c r="B329" t="s">
        <v>16</v>
      </c>
      <c r="C329" t="s">
        <v>17</v>
      </c>
      <c r="D329">
        <v>2</v>
      </c>
      <c r="E329" t="s">
        <v>18</v>
      </c>
      <c r="F329" t="s">
        <v>19</v>
      </c>
      <c r="G329">
        <v>5041</v>
      </c>
      <c r="H329">
        <v>700</v>
      </c>
      <c r="I329">
        <v>150</v>
      </c>
      <c r="J329">
        <v>360</v>
      </c>
      <c r="K329">
        <v>1</v>
      </c>
      <c r="L329" t="s">
        <v>20</v>
      </c>
      <c r="M329">
        <v>5741</v>
      </c>
      <c r="N329">
        <v>2.6127852290541719E-2</v>
      </c>
      <c r="O329" t="s">
        <v>21</v>
      </c>
    </row>
    <row r="330" spans="1:15" x14ac:dyDescent="0.35">
      <c r="A330" t="s">
        <v>355</v>
      </c>
      <c r="B330" t="s">
        <v>16</v>
      </c>
      <c r="C330" t="s">
        <v>17</v>
      </c>
      <c r="D330" t="s">
        <v>39</v>
      </c>
      <c r="E330" t="s">
        <v>18</v>
      </c>
      <c r="F330" t="s">
        <v>17</v>
      </c>
      <c r="G330">
        <v>6958</v>
      </c>
      <c r="H330">
        <v>1411</v>
      </c>
      <c r="I330">
        <v>150</v>
      </c>
      <c r="J330">
        <v>360</v>
      </c>
      <c r="K330">
        <v>1</v>
      </c>
      <c r="L330" t="s">
        <v>32</v>
      </c>
      <c r="M330">
        <v>8369</v>
      </c>
      <c r="N330">
        <v>1.7923288325964869E-2</v>
      </c>
      <c r="O330" t="s">
        <v>21</v>
      </c>
    </row>
    <row r="331" spans="1:15" x14ac:dyDescent="0.35">
      <c r="A331" t="s">
        <v>356</v>
      </c>
      <c r="B331" t="s">
        <v>16</v>
      </c>
      <c r="C331" t="s">
        <v>17</v>
      </c>
      <c r="D331">
        <v>1</v>
      </c>
      <c r="E331" t="s">
        <v>18</v>
      </c>
      <c r="F331" t="s">
        <v>19</v>
      </c>
      <c r="G331">
        <v>3500</v>
      </c>
      <c r="H331">
        <v>1658</v>
      </c>
      <c r="I331">
        <v>104</v>
      </c>
      <c r="J331">
        <v>360</v>
      </c>
      <c r="K331">
        <v>1</v>
      </c>
      <c r="L331" t="s">
        <v>30</v>
      </c>
      <c r="M331">
        <v>5158</v>
      </c>
      <c r="N331">
        <v>2.0162853819309809E-2</v>
      </c>
      <c r="O331" t="s">
        <v>21</v>
      </c>
    </row>
    <row r="332" spans="1:15" x14ac:dyDescent="0.35">
      <c r="A332" t="s">
        <v>357</v>
      </c>
      <c r="B332" t="s">
        <v>16</v>
      </c>
      <c r="C332" t="s">
        <v>17</v>
      </c>
      <c r="D332">
        <v>0</v>
      </c>
      <c r="E332" t="s">
        <v>18</v>
      </c>
      <c r="F332" t="s">
        <v>19</v>
      </c>
      <c r="G332">
        <v>5509</v>
      </c>
      <c r="H332">
        <v>0</v>
      </c>
      <c r="I332">
        <v>143</v>
      </c>
      <c r="J332">
        <v>360</v>
      </c>
      <c r="K332">
        <v>1</v>
      </c>
      <c r="L332" t="s">
        <v>32</v>
      </c>
      <c r="M332">
        <v>5509</v>
      </c>
      <c r="N332">
        <v>2.5957524051552001E-2</v>
      </c>
      <c r="O332" t="s">
        <v>21</v>
      </c>
    </row>
    <row r="333" spans="1:15" x14ac:dyDescent="0.35">
      <c r="A333" t="s">
        <v>358</v>
      </c>
      <c r="B333" t="s">
        <v>16</v>
      </c>
      <c r="C333" t="s">
        <v>17</v>
      </c>
      <c r="D333" t="s">
        <v>39</v>
      </c>
      <c r="E333" t="s">
        <v>18</v>
      </c>
      <c r="F333" t="s">
        <v>19</v>
      </c>
      <c r="G333">
        <v>9699</v>
      </c>
      <c r="H333">
        <v>0</v>
      </c>
      <c r="I333">
        <v>300</v>
      </c>
      <c r="J333">
        <v>360</v>
      </c>
      <c r="K333">
        <v>1</v>
      </c>
      <c r="L333" t="s">
        <v>20</v>
      </c>
      <c r="M333">
        <v>9699</v>
      </c>
      <c r="N333">
        <v>3.093102381688834E-2</v>
      </c>
      <c r="O333" t="s">
        <v>21</v>
      </c>
    </row>
    <row r="334" spans="1:15" x14ac:dyDescent="0.35">
      <c r="A334" t="s">
        <v>359</v>
      </c>
      <c r="B334" t="s">
        <v>29</v>
      </c>
      <c r="C334" t="s">
        <v>17</v>
      </c>
      <c r="D334">
        <v>1</v>
      </c>
      <c r="E334" t="s">
        <v>26</v>
      </c>
      <c r="F334" t="s">
        <v>19</v>
      </c>
      <c r="G334">
        <v>3621</v>
      </c>
      <c r="H334">
        <v>2717</v>
      </c>
      <c r="I334">
        <v>171</v>
      </c>
      <c r="J334">
        <v>360</v>
      </c>
      <c r="K334">
        <v>1</v>
      </c>
      <c r="L334" t="s">
        <v>20</v>
      </c>
      <c r="M334">
        <v>6338</v>
      </c>
      <c r="N334">
        <v>2.6980119911644049E-2</v>
      </c>
      <c r="O334" t="s">
        <v>21</v>
      </c>
    </row>
    <row r="335" spans="1:15" x14ac:dyDescent="0.35">
      <c r="A335" t="s">
        <v>360</v>
      </c>
      <c r="B335" t="s">
        <v>29</v>
      </c>
      <c r="C335" t="s">
        <v>17</v>
      </c>
      <c r="D335">
        <v>0</v>
      </c>
      <c r="E335" t="s">
        <v>18</v>
      </c>
      <c r="F335" t="s">
        <v>19</v>
      </c>
      <c r="G335">
        <v>4709</v>
      </c>
      <c r="H335">
        <v>0</v>
      </c>
      <c r="I335">
        <v>113</v>
      </c>
      <c r="J335">
        <v>360</v>
      </c>
      <c r="K335">
        <v>1</v>
      </c>
      <c r="L335" t="s">
        <v>30</v>
      </c>
      <c r="M335">
        <v>4709</v>
      </c>
      <c r="N335">
        <v>2.3996602251008709E-2</v>
      </c>
      <c r="O335" t="s">
        <v>21</v>
      </c>
    </row>
    <row r="336" spans="1:15" x14ac:dyDescent="0.35">
      <c r="A336" t="s">
        <v>361</v>
      </c>
      <c r="B336" t="s">
        <v>16</v>
      </c>
      <c r="C336" t="s">
        <v>17</v>
      </c>
      <c r="D336">
        <v>0</v>
      </c>
      <c r="E336" t="s">
        <v>18</v>
      </c>
      <c r="F336" t="s">
        <v>19</v>
      </c>
      <c r="G336">
        <v>1516</v>
      </c>
      <c r="H336">
        <v>1951</v>
      </c>
      <c r="I336">
        <v>35</v>
      </c>
      <c r="J336">
        <v>360</v>
      </c>
      <c r="K336">
        <v>1</v>
      </c>
      <c r="L336" t="s">
        <v>30</v>
      </c>
      <c r="M336">
        <v>3467</v>
      </c>
      <c r="N336">
        <v>1.009518315546582E-2</v>
      </c>
      <c r="O336" t="s">
        <v>21</v>
      </c>
    </row>
    <row r="337" spans="1:15" x14ac:dyDescent="0.35">
      <c r="A337" t="s">
        <v>362</v>
      </c>
      <c r="B337" t="s">
        <v>16</v>
      </c>
      <c r="C337" t="s">
        <v>19</v>
      </c>
      <c r="D337">
        <v>2</v>
      </c>
      <c r="E337" t="s">
        <v>18</v>
      </c>
      <c r="F337" t="s">
        <v>19</v>
      </c>
      <c r="G337">
        <v>2400</v>
      </c>
      <c r="H337">
        <v>0</v>
      </c>
      <c r="I337">
        <v>46</v>
      </c>
      <c r="J337">
        <v>360</v>
      </c>
      <c r="K337">
        <v>1</v>
      </c>
      <c r="L337" t="s">
        <v>20</v>
      </c>
      <c r="M337">
        <v>2400</v>
      </c>
      <c r="N337">
        <v>1.9166666666666669E-2</v>
      </c>
      <c r="O337" t="s">
        <v>21</v>
      </c>
    </row>
    <row r="338" spans="1:15" x14ac:dyDescent="0.35">
      <c r="A338" t="s">
        <v>363</v>
      </c>
      <c r="B338" t="s">
        <v>29</v>
      </c>
      <c r="C338" t="s">
        <v>19</v>
      </c>
      <c r="D338">
        <v>0</v>
      </c>
      <c r="E338" t="s">
        <v>26</v>
      </c>
      <c r="F338" t="s">
        <v>19</v>
      </c>
      <c r="G338">
        <v>3015</v>
      </c>
      <c r="H338">
        <v>2000</v>
      </c>
      <c r="I338">
        <v>145</v>
      </c>
      <c r="J338">
        <v>360</v>
      </c>
      <c r="K338">
        <v>1</v>
      </c>
      <c r="L338" t="s">
        <v>20</v>
      </c>
      <c r="M338">
        <v>5015</v>
      </c>
      <c r="N338">
        <v>2.8913260219341971E-2</v>
      </c>
      <c r="O338" t="s">
        <v>21</v>
      </c>
    </row>
    <row r="339" spans="1:15" x14ac:dyDescent="0.35">
      <c r="A339" t="s">
        <v>364</v>
      </c>
      <c r="B339" t="s">
        <v>16</v>
      </c>
      <c r="C339" t="s">
        <v>17</v>
      </c>
      <c r="D339">
        <v>0</v>
      </c>
      <c r="E339" t="s">
        <v>18</v>
      </c>
      <c r="F339" t="s">
        <v>19</v>
      </c>
      <c r="G339">
        <v>2292</v>
      </c>
      <c r="H339">
        <v>1558</v>
      </c>
      <c r="I339">
        <v>119</v>
      </c>
      <c r="J339">
        <v>360</v>
      </c>
      <c r="K339">
        <v>1</v>
      </c>
      <c r="L339" t="s">
        <v>20</v>
      </c>
      <c r="M339">
        <v>3850</v>
      </c>
      <c r="N339">
        <v>3.090909090909091E-2</v>
      </c>
      <c r="O339" t="s">
        <v>21</v>
      </c>
    </row>
    <row r="340" spans="1:15" x14ac:dyDescent="0.35">
      <c r="A340" t="s">
        <v>365</v>
      </c>
      <c r="B340" t="s">
        <v>16</v>
      </c>
      <c r="C340" t="s">
        <v>17</v>
      </c>
      <c r="D340">
        <v>1</v>
      </c>
      <c r="E340" t="s">
        <v>18</v>
      </c>
      <c r="F340" t="s">
        <v>17</v>
      </c>
      <c r="G340">
        <v>2360</v>
      </c>
      <c r="H340">
        <v>3355</v>
      </c>
      <c r="I340">
        <v>87</v>
      </c>
      <c r="J340">
        <v>240</v>
      </c>
      <c r="K340">
        <v>1</v>
      </c>
      <c r="L340" t="s">
        <v>32</v>
      </c>
      <c r="M340">
        <v>5715</v>
      </c>
      <c r="N340">
        <v>1.522309711286089E-2</v>
      </c>
      <c r="O340" t="s">
        <v>21</v>
      </c>
    </row>
    <row r="341" spans="1:15" x14ac:dyDescent="0.35">
      <c r="A341" t="s">
        <v>366</v>
      </c>
      <c r="B341" t="s">
        <v>29</v>
      </c>
      <c r="C341" t="s">
        <v>19</v>
      </c>
      <c r="D341">
        <v>0</v>
      </c>
      <c r="E341" t="s">
        <v>18</v>
      </c>
      <c r="F341" t="s">
        <v>19</v>
      </c>
      <c r="G341">
        <v>4333</v>
      </c>
      <c r="H341">
        <v>2333</v>
      </c>
      <c r="I341">
        <v>162</v>
      </c>
      <c r="J341">
        <v>360</v>
      </c>
      <c r="K341">
        <v>0</v>
      </c>
      <c r="L341" t="s">
        <v>32</v>
      </c>
      <c r="M341">
        <v>6666</v>
      </c>
      <c r="N341">
        <v>2.4302430243024298E-2</v>
      </c>
      <c r="O341" t="s">
        <v>33</v>
      </c>
    </row>
    <row r="342" spans="1:15" x14ac:dyDescent="0.35">
      <c r="A342" t="s">
        <v>367</v>
      </c>
      <c r="B342" t="s">
        <v>16</v>
      </c>
      <c r="C342" t="s">
        <v>17</v>
      </c>
      <c r="D342">
        <v>0</v>
      </c>
      <c r="E342" t="s">
        <v>18</v>
      </c>
      <c r="F342" t="s">
        <v>17</v>
      </c>
      <c r="G342">
        <v>2623</v>
      </c>
      <c r="H342">
        <v>4831</v>
      </c>
      <c r="I342">
        <v>122</v>
      </c>
      <c r="J342">
        <v>180</v>
      </c>
      <c r="K342">
        <v>1</v>
      </c>
      <c r="L342" t="s">
        <v>30</v>
      </c>
      <c r="M342">
        <v>7454</v>
      </c>
      <c r="N342">
        <v>1.6367051247652271E-2</v>
      </c>
      <c r="O342" t="s">
        <v>21</v>
      </c>
    </row>
    <row r="343" spans="1:15" x14ac:dyDescent="0.35">
      <c r="A343" t="s">
        <v>368</v>
      </c>
      <c r="B343" t="s">
        <v>16</v>
      </c>
      <c r="C343" t="s">
        <v>19</v>
      </c>
      <c r="D343">
        <v>0</v>
      </c>
      <c r="E343" t="s">
        <v>18</v>
      </c>
      <c r="F343" t="s">
        <v>17</v>
      </c>
      <c r="G343">
        <v>3972</v>
      </c>
      <c r="H343">
        <v>4275</v>
      </c>
      <c r="I343">
        <v>187</v>
      </c>
      <c r="J343">
        <v>360</v>
      </c>
      <c r="K343">
        <v>1</v>
      </c>
      <c r="L343" t="s">
        <v>32</v>
      </c>
      <c r="M343">
        <v>8247</v>
      </c>
      <c r="N343">
        <v>2.2674912089244579E-2</v>
      </c>
      <c r="O343" t="s">
        <v>21</v>
      </c>
    </row>
    <row r="344" spans="1:15" x14ac:dyDescent="0.35">
      <c r="A344" t="s">
        <v>369</v>
      </c>
      <c r="B344" t="s">
        <v>16</v>
      </c>
      <c r="C344" t="s">
        <v>17</v>
      </c>
      <c r="D344" t="s">
        <v>39</v>
      </c>
      <c r="E344" t="s">
        <v>26</v>
      </c>
      <c r="F344" t="s">
        <v>19</v>
      </c>
      <c r="G344">
        <v>3522</v>
      </c>
      <c r="H344">
        <v>0</v>
      </c>
      <c r="I344">
        <v>81</v>
      </c>
      <c r="J344">
        <v>180</v>
      </c>
      <c r="K344">
        <v>1</v>
      </c>
      <c r="L344" t="s">
        <v>32</v>
      </c>
      <c r="M344">
        <v>3522</v>
      </c>
      <c r="N344">
        <v>2.299829642248722E-2</v>
      </c>
      <c r="O344" t="s">
        <v>21</v>
      </c>
    </row>
    <row r="345" spans="1:15" x14ac:dyDescent="0.35">
      <c r="A345" t="s">
        <v>370</v>
      </c>
      <c r="B345" t="s">
        <v>16</v>
      </c>
      <c r="C345" t="s">
        <v>17</v>
      </c>
      <c r="D345">
        <v>1</v>
      </c>
      <c r="E345" t="s">
        <v>18</v>
      </c>
      <c r="F345" t="s">
        <v>19</v>
      </c>
      <c r="G345">
        <v>4700</v>
      </c>
      <c r="H345">
        <v>0</v>
      </c>
      <c r="I345">
        <v>80</v>
      </c>
      <c r="J345">
        <v>360</v>
      </c>
      <c r="K345">
        <v>1</v>
      </c>
      <c r="L345" t="s">
        <v>20</v>
      </c>
      <c r="M345">
        <v>4700</v>
      </c>
      <c r="N345">
        <v>1.7021276595744681E-2</v>
      </c>
      <c r="O345" t="s">
        <v>21</v>
      </c>
    </row>
    <row r="346" spans="1:15" x14ac:dyDescent="0.35">
      <c r="A346" t="s">
        <v>371</v>
      </c>
      <c r="B346" t="s">
        <v>16</v>
      </c>
      <c r="C346" t="s">
        <v>19</v>
      </c>
      <c r="D346">
        <v>0</v>
      </c>
      <c r="E346" t="s">
        <v>18</v>
      </c>
      <c r="F346" t="s">
        <v>19</v>
      </c>
      <c r="G346">
        <v>6858</v>
      </c>
      <c r="H346">
        <v>0</v>
      </c>
      <c r="I346">
        <v>176</v>
      </c>
      <c r="J346">
        <v>360</v>
      </c>
      <c r="K346">
        <v>1</v>
      </c>
      <c r="L346" t="s">
        <v>32</v>
      </c>
      <c r="M346">
        <v>6858</v>
      </c>
      <c r="N346">
        <v>2.5663458734324879E-2</v>
      </c>
      <c r="O346" t="s">
        <v>21</v>
      </c>
    </row>
    <row r="347" spans="1:15" x14ac:dyDescent="0.35">
      <c r="A347" t="s">
        <v>372</v>
      </c>
      <c r="B347" t="s">
        <v>16</v>
      </c>
      <c r="C347" t="s">
        <v>17</v>
      </c>
      <c r="D347" t="s">
        <v>39</v>
      </c>
      <c r="E347" t="s">
        <v>18</v>
      </c>
      <c r="F347" t="s">
        <v>19</v>
      </c>
      <c r="G347">
        <v>8334</v>
      </c>
      <c r="H347">
        <v>0</v>
      </c>
      <c r="I347">
        <v>260</v>
      </c>
      <c r="J347">
        <v>360</v>
      </c>
      <c r="K347">
        <v>1</v>
      </c>
      <c r="L347" t="s">
        <v>20</v>
      </c>
      <c r="M347">
        <v>8334</v>
      </c>
      <c r="N347">
        <v>3.1197504199664029E-2</v>
      </c>
      <c r="O347" t="s">
        <v>21</v>
      </c>
    </row>
    <row r="348" spans="1:15" x14ac:dyDescent="0.35">
      <c r="A348" t="s">
        <v>373</v>
      </c>
      <c r="B348" t="s">
        <v>16</v>
      </c>
      <c r="C348" t="s">
        <v>17</v>
      </c>
      <c r="D348">
        <v>0</v>
      </c>
      <c r="E348" t="s">
        <v>18</v>
      </c>
      <c r="F348" t="s">
        <v>19</v>
      </c>
      <c r="G348">
        <v>3391</v>
      </c>
      <c r="H348">
        <v>1966</v>
      </c>
      <c r="I348">
        <v>133</v>
      </c>
      <c r="J348">
        <v>360</v>
      </c>
      <c r="K348">
        <v>0</v>
      </c>
      <c r="L348" t="s">
        <v>32</v>
      </c>
      <c r="M348">
        <v>5357</v>
      </c>
      <c r="N348">
        <v>2.4827328728766099E-2</v>
      </c>
      <c r="O348" t="s">
        <v>33</v>
      </c>
    </row>
    <row r="349" spans="1:15" x14ac:dyDescent="0.35">
      <c r="A349" t="s">
        <v>374</v>
      </c>
      <c r="B349" t="s">
        <v>16</v>
      </c>
      <c r="C349" t="s">
        <v>19</v>
      </c>
      <c r="D349">
        <v>0</v>
      </c>
      <c r="E349" t="s">
        <v>26</v>
      </c>
      <c r="F349" t="s">
        <v>19</v>
      </c>
      <c r="G349">
        <v>2868</v>
      </c>
      <c r="H349">
        <v>0</v>
      </c>
      <c r="I349">
        <v>70</v>
      </c>
      <c r="J349">
        <v>360</v>
      </c>
      <c r="K349">
        <v>1</v>
      </c>
      <c r="L349" t="s">
        <v>20</v>
      </c>
      <c r="M349">
        <v>2868</v>
      </c>
      <c r="N349">
        <v>2.4407252440725249E-2</v>
      </c>
      <c r="O349" t="s">
        <v>21</v>
      </c>
    </row>
    <row r="350" spans="1:15" x14ac:dyDescent="0.35">
      <c r="A350" t="s">
        <v>375</v>
      </c>
      <c r="B350" t="s">
        <v>16</v>
      </c>
      <c r="C350" t="s">
        <v>17</v>
      </c>
      <c r="D350">
        <v>2</v>
      </c>
      <c r="E350" t="s">
        <v>26</v>
      </c>
      <c r="F350" t="s">
        <v>19</v>
      </c>
      <c r="G350">
        <v>3418</v>
      </c>
      <c r="H350">
        <v>1380</v>
      </c>
      <c r="I350">
        <v>135</v>
      </c>
      <c r="J350">
        <v>360</v>
      </c>
      <c r="K350">
        <v>1</v>
      </c>
      <c r="L350" t="s">
        <v>20</v>
      </c>
      <c r="M350">
        <v>4798</v>
      </c>
      <c r="N350">
        <v>2.813672363484785E-2</v>
      </c>
      <c r="O350" t="s">
        <v>21</v>
      </c>
    </row>
    <row r="351" spans="1:15" x14ac:dyDescent="0.35">
      <c r="A351" t="s">
        <v>376</v>
      </c>
      <c r="B351" t="s">
        <v>16</v>
      </c>
      <c r="C351" t="s">
        <v>17</v>
      </c>
      <c r="D351">
        <v>0</v>
      </c>
      <c r="E351" t="s">
        <v>18</v>
      </c>
      <c r="F351" t="s">
        <v>17</v>
      </c>
      <c r="G351">
        <v>2500</v>
      </c>
      <c r="H351">
        <v>296</v>
      </c>
      <c r="I351">
        <v>137</v>
      </c>
      <c r="J351">
        <v>300</v>
      </c>
      <c r="K351">
        <v>1</v>
      </c>
      <c r="L351" t="s">
        <v>32</v>
      </c>
      <c r="M351">
        <v>2796</v>
      </c>
      <c r="N351">
        <v>4.8998569384835482E-2</v>
      </c>
      <c r="O351" t="s">
        <v>21</v>
      </c>
    </row>
    <row r="352" spans="1:15" x14ac:dyDescent="0.35">
      <c r="A352" t="s">
        <v>377</v>
      </c>
      <c r="B352" t="s">
        <v>16</v>
      </c>
      <c r="C352" t="s">
        <v>17</v>
      </c>
      <c r="D352">
        <v>2</v>
      </c>
      <c r="E352" t="s">
        <v>18</v>
      </c>
      <c r="F352" t="s">
        <v>19</v>
      </c>
      <c r="G352">
        <v>8667</v>
      </c>
      <c r="H352">
        <v>0</v>
      </c>
      <c r="I352">
        <v>254</v>
      </c>
      <c r="J352">
        <v>360</v>
      </c>
      <c r="K352">
        <v>1</v>
      </c>
      <c r="L352" t="s">
        <v>32</v>
      </c>
      <c r="M352">
        <v>8667</v>
      </c>
      <c r="N352">
        <v>2.9306565132110309E-2</v>
      </c>
      <c r="O352" t="s">
        <v>21</v>
      </c>
    </row>
    <row r="353" spans="1:15" x14ac:dyDescent="0.35">
      <c r="A353" t="s">
        <v>378</v>
      </c>
      <c r="B353" t="s">
        <v>16</v>
      </c>
      <c r="C353" t="s">
        <v>19</v>
      </c>
      <c r="D353">
        <v>0</v>
      </c>
      <c r="E353" t="s">
        <v>18</v>
      </c>
      <c r="F353" t="s">
        <v>19</v>
      </c>
      <c r="G353">
        <v>2283</v>
      </c>
      <c r="H353">
        <v>15000</v>
      </c>
      <c r="I353">
        <v>106</v>
      </c>
      <c r="J353">
        <v>360</v>
      </c>
      <c r="K353">
        <v>1</v>
      </c>
      <c r="L353" t="s">
        <v>32</v>
      </c>
      <c r="M353">
        <v>17283</v>
      </c>
      <c r="N353">
        <v>6.1331944685529133E-3</v>
      </c>
      <c r="O353" t="s">
        <v>21</v>
      </c>
    </row>
    <row r="354" spans="1:15" x14ac:dyDescent="0.35">
      <c r="A354" t="s">
        <v>379</v>
      </c>
      <c r="B354" t="s">
        <v>16</v>
      </c>
      <c r="C354" t="s">
        <v>17</v>
      </c>
      <c r="D354">
        <v>0</v>
      </c>
      <c r="E354" t="s">
        <v>18</v>
      </c>
      <c r="F354" t="s">
        <v>19</v>
      </c>
      <c r="G354">
        <v>5817</v>
      </c>
      <c r="H354">
        <v>910</v>
      </c>
      <c r="I354">
        <v>109</v>
      </c>
      <c r="J354">
        <v>360</v>
      </c>
      <c r="K354">
        <v>1</v>
      </c>
      <c r="L354" t="s">
        <v>20</v>
      </c>
      <c r="M354">
        <v>6727</v>
      </c>
      <c r="N354">
        <v>1.6203359595659279E-2</v>
      </c>
      <c r="O354" t="s">
        <v>21</v>
      </c>
    </row>
    <row r="355" spans="1:15" x14ac:dyDescent="0.35">
      <c r="A355" t="s">
        <v>380</v>
      </c>
      <c r="B355" t="s">
        <v>16</v>
      </c>
      <c r="C355" t="s">
        <v>17</v>
      </c>
      <c r="D355">
        <v>0</v>
      </c>
      <c r="E355" t="s">
        <v>18</v>
      </c>
      <c r="F355" t="s">
        <v>19</v>
      </c>
      <c r="G355">
        <v>5119</v>
      </c>
      <c r="H355">
        <v>3769</v>
      </c>
      <c r="I355">
        <v>120</v>
      </c>
      <c r="J355">
        <v>360</v>
      </c>
      <c r="K355">
        <v>1</v>
      </c>
      <c r="L355" t="s">
        <v>32</v>
      </c>
      <c r="M355">
        <v>8888</v>
      </c>
      <c r="N355">
        <v>1.3501350135013499E-2</v>
      </c>
      <c r="O355" t="s">
        <v>21</v>
      </c>
    </row>
    <row r="356" spans="1:15" x14ac:dyDescent="0.35">
      <c r="A356" t="s">
        <v>381</v>
      </c>
      <c r="B356" t="s">
        <v>16</v>
      </c>
      <c r="C356" t="s">
        <v>17</v>
      </c>
      <c r="D356" t="s">
        <v>39</v>
      </c>
      <c r="E356" t="s">
        <v>26</v>
      </c>
      <c r="F356" t="s">
        <v>19</v>
      </c>
      <c r="G356">
        <v>5316</v>
      </c>
      <c r="H356">
        <v>187</v>
      </c>
      <c r="I356">
        <v>158</v>
      </c>
      <c r="J356">
        <v>180</v>
      </c>
      <c r="K356">
        <v>0</v>
      </c>
      <c r="L356" t="s">
        <v>30</v>
      </c>
      <c r="M356">
        <v>5503</v>
      </c>
      <c r="N356">
        <v>2.8711611848082859E-2</v>
      </c>
      <c r="O356" t="s">
        <v>33</v>
      </c>
    </row>
    <row r="357" spans="1:15" x14ac:dyDescent="0.35">
      <c r="A357" t="s">
        <v>382</v>
      </c>
      <c r="B357" t="s">
        <v>16</v>
      </c>
      <c r="C357" t="s">
        <v>17</v>
      </c>
      <c r="D357" t="s">
        <v>39</v>
      </c>
      <c r="E357" t="s">
        <v>18</v>
      </c>
      <c r="F357" t="s">
        <v>19</v>
      </c>
      <c r="G357">
        <v>7603</v>
      </c>
      <c r="H357">
        <v>1213</v>
      </c>
      <c r="I357">
        <v>197</v>
      </c>
      <c r="J357">
        <v>360</v>
      </c>
      <c r="K357">
        <v>1</v>
      </c>
      <c r="L357" t="s">
        <v>20</v>
      </c>
      <c r="M357">
        <v>8816</v>
      </c>
      <c r="N357">
        <v>2.2345735027223229E-2</v>
      </c>
      <c r="O357" t="s">
        <v>21</v>
      </c>
    </row>
    <row r="358" spans="1:15" x14ac:dyDescent="0.35">
      <c r="A358" t="s">
        <v>383</v>
      </c>
      <c r="B358" t="s">
        <v>16</v>
      </c>
      <c r="C358" t="s">
        <v>17</v>
      </c>
      <c r="D358">
        <v>1</v>
      </c>
      <c r="E358" t="s">
        <v>18</v>
      </c>
      <c r="F358" t="s">
        <v>19</v>
      </c>
      <c r="G358">
        <v>3791</v>
      </c>
      <c r="H358">
        <v>1936</v>
      </c>
      <c r="I358">
        <v>85</v>
      </c>
      <c r="J358">
        <v>360</v>
      </c>
      <c r="K358">
        <v>1</v>
      </c>
      <c r="L358" t="s">
        <v>20</v>
      </c>
      <c r="M358">
        <v>5727</v>
      </c>
      <c r="N358">
        <v>1.484197660206042E-2</v>
      </c>
      <c r="O358" t="s">
        <v>21</v>
      </c>
    </row>
    <row r="359" spans="1:15" x14ac:dyDescent="0.35">
      <c r="A359" t="s">
        <v>384</v>
      </c>
      <c r="B359" t="s">
        <v>16</v>
      </c>
      <c r="C359" t="s">
        <v>19</v>
      </c>
      <c r="D359">
        <v>0</v>
      </c>
      <c r="E359" t="s">
        <v>18</v>
      </c>
      <c r="F359" t="s">
        <v>19</v>
      </c>
      <c r="G359">
        <v>2500</v>
      </c>
      <c r="H359">
        <v>0</v>
      </c>
      <c r="I359">
        <v>60</v>
      </c>
      <c r="J359">
        <v>360</v>
      </c>
      <c r="K359">
        <v>1</v>
      </c>
      <c r="L359" t="s">
        <v>20</v>
      </c>
      <c r="M359">
        <v>2500</v>
      </c>
      <c r="N359">
        <v>2.4E-2</v>
      </c>
      <c r="O359" t="s">
        <v>21</v>
      </c>
    </row>
    <row r="360" spans="1:15" x14ac:dyDescent="0.35">
      <c r="A360" t="s">
        <v>385</v>
      </c>
      <c r="B360" t="s">
        <v>16</v>
      </c>
      <c r="C360" t="s">
        <v>17</v>
      </c>
      <c r="D360">
        <v>2</v>
      </c>
      <c r="E360" t="s">
        <v>26</v>
      </c>
      <c r="F360" t="s">
        <v>19</v>
      </c>
      <c r="G360">
        <v>3132</v>
      </c>
      <c r="H360">
        <v>0</v>
      </c>
      <c r="I360">
        <v>76</v>
      </c>
      <c r="J360">
        <v>360</v>
      </c>
      <c r="K360">
        <v>1</v>
      </c>
      <c r="L360" t="s">
        <v>32</v>
      </c>
      <c r="M360">
        <v>3132</v>
      </c>
      <c r="N360">
        <v>2.426564495530013E-2</v>
      </c>
      <c r="O360" t="s">
        <v>21</v>
      </c>
    </row>
    <row r="361" spans="1:15" x14ac:dyDescent="0.35">
      <c r="A361" t="s">
        <v>386</v>
      </c>
      <c r="B361" t="s">
        <v>16</v>
      </c>
      <c r="C361" t="s">
        <v>19</v>
      </c>
      <c r="D361">
        <v>0</v>
      </c>
      <c r="E361" t="s">
        <v>18</v>
      </c>
      <c r="F361" t="s">
        <v>19</v>
      </c>
      <c r="G361">
        <v>4000</v>
      </c>
      <c r="H361">
        <v>2667</v>
      </c>
      <c r="I361">
        <v>152</v>
      </c>
      <c r="J361">
        <v>360</v>
      </c>
      <c r="K361">
        <v>1</v>
      </c>
      <c r="L361" t="s">
        <v>30</v>
      </c>
      <c r="M361">
        <v>6667</v>
      </c>
      <c r="N361">
        <v>2.2798860056997151E-2</v>
      </c>
      <c r="O361" t="s">
        <v>21</v>
      </c>
    </row>
    <row r="362" spans="1:15" x14ac:dyDescent="0.35">
      <c r="A362" t="s">
        <v>387</v>
      </c>
      <c r="B362" t="s">
        <v>29</v>
      </c>
      <c r="C362" t="s">
        <v>17</v>
      </c>
      <c r="D362">
        <v>0</v>
      </c>
      <c r="E362" t="s">
        <v>18</v>
      </c>
      <c r="F362" t="s">
        <v>19</v>
      </c>
      <c r="G362">
        <v>8550</v>
      </c>
      <c r="H362">
        <v>4255</v>
      </c>
      <c r="I362">
        <v>96</v>
      </c>
      <c r="J362">
        <v>360</v>
      </c>
      <c r="K362">
        <v>1</v>
      </c>
      <c r="L362" t="s">
        <v>20</v>
      </c>
      <c r="M362">
        <v>12805</v>
      </c>
      <c r="N362">
        <v>7.4970714564623186E-3</v>
      </c>
      <c r="O362" t="s">
        <v>21</v>
      </c>
    </row>
    <row r="363" spans="1:15" x14ac:dyDescent="0.35">
      <c r="A363" t="s">
        <v>388</v>
      </c>
      <c r="B363" t="s">
        <v>16</v>
      </c>
      <c r="C363" t="s">
        <v>17</v>
      </c>
      <c r="D363">
        <v>1</v>
      </c>
      <c r="E363" t="s">
        <v>18</v>
      </c>
      <c r="F363" t="s">
        <v>19</v>
      </c>
      <c r="G363">
        <v>2269</v>
      </c>
      <c r="H363">
        <v>2167</v>
      </c>
      <c r="I363">
        <v>99</v>
      </c>
      <c r="J363">
        <v>360</v>
      </c>
      <c r="K363">
        <v>1</v>
      </c>
      <c r="L363" t="s">
        <v>30</v>
      </c>
      <c r="M363">
        <v>4436</v>
      </c>
      <c r="N363">
        <v>2.2317403065825071E-2</v>
      </c>
      <c r="O363" t="s">
        <v>21</v>
      </c>
    </row>
    <row r="364" spans="1:15" x14ac:dyDescent="0.35">
      <c r="A364" t="s">
        <v>389</v>
      </c>
      <c r="B364" t="s">
        <v>16</v>
      </c>
      <c r="C364" t="s">
        <v>17</v>
      </c>
      <c r="D364" t="s">
        <v>39</v>
      </c>
      <c r="E364" t="s">
        <v>26</v>
      </c>
      <c r="F364" t="s">
        <v>17</v>
      </c>
      <c r="G364">
        <v>4009</v>
      </c>
      <c r="H364">
        <v>1777</v>
      </c>
      <c r="I364">
        <v>113</v>
      </c>
      <c r="J364">
        <v>360</v>
      </c>
      <c r="K364">
        <v>1</v>
      </c>
      <c r="L364" t="s">
        <v>20</v>
      </c>
      <c r="M364">
        <v>5786</v>
      </c>
      <c r="N364">
        <v>1.952989975803664E-2</v>
      </c>
      <c r="O364" t="s">
        <v>21</v>
      </c>
    </row>
    <row r="365" spans="1:15" x14ac:dyDescent="0.35">
      <c r="A365" t="s">
        <v>390</v>
      </c>
      <c r="B365" t="s">
        <v>16</v>
      </c>
      <c r="C365" t="s">
        <v>17</v>
      </c>
      <c r="D365">
        <v>0</v>
      </c>
      <c r="E365" t="s">
        <v>18</v>
      </c>
      <c r="F365" t="s">
        <v>19</v>
      </c>
      <c r="G365">
        <v>4158</v>
      </c>
      <c r="H365">
        <v>709</v>
      </c>
      <c r="I365">
        <v>115</v>
      </c>
      <c r="J365">
        <v>360</v>
      </c>
      <c r="K365">
        <v>1</v>
      </c>
      <c r="L365" t="s">
        <v>20</v>
      </c>
      <c r="M365">
        <v>4867</v>
      </c>
      <c r="N365">
        <v>2.3628518594616808E-2</v>
      </c>
      <c r="O365" t="s">
        <v>21</v>
      </c>
    </row>
    <row r="366" spans="1:15" x14ac:dyDescent="0.35">
      <c r="A366" t="s">
        <v>391</v>
      </c>
      <c r="B366" t="s">
        <v>16</v>
      </c>
      <c r="C366" t="s">
        <v>19</v>
      </c>
      <c r="D366">
        <v>0</v>
      </c>
      <c r="E366" t="s">
        <v>18</v>
      </c>
      <c r="F366" t="s">
        <v>19</v>
      </c>
      <c r="G366">
        <v>3250</v>
      </c>
      <c r="H366">
        <v>1993</v>
      </c>
      <c r="I366">
        <v>126</v>
      </c>
      <c r="J366">
        <v>360</v>
      </c>
      <c r="K366">
        <v>1</v>
      </c>
      <c r="L366" t="s">
        <v>30</v>
      </c>
      <c r="M366">
        <v>5243</v>
      </c>
      <c r="N366">
        <v>2.4032042723631509E-2</v>
      </c>
      <c r="O366" t="s">
        <v>21</v>
      </c>
    </row>
    <row r="367" spans="1:15" x14ac:dyDescent="0.35">
      <c r="A367" t="s">
        <v>392</v>
      </c>
      <c r="B367" t="s">
        <v>16</v>
      </c>
      <c r="C367" t="s">
        <v>17</v>
      </c>
      <c r="D367">
        <v>0</v>
      </c>
      <c r="E367" t="s">
        <v>18</v>
      </c>
      <c r="F367" t="s">
        <v>19</v>
      </c>
      <c r="G367">
        <v>5000</v>
      </c>
      <c r="H367">
        <v>2393</v>
      </c>
      <c r="I367">
        <v>158</v>
      </c>
      <c r="J367">
        <v>360</v>
      </c>
      <c r="K367">
        <v>1</v>
      </c>
      <c r="L367" t="s">
        <v>32</v>
      </c>
      <c r="M367">
        <v>7393</v>
      </c>
      <c r="N367">
        <v>2.13715676991749E-2</v>
      </c>
      <c r="O367" t="s">
        <v>21</v>
      </c>
    </row>
    <row r="368" spans="1:15" x14ac:dyDescent="0.35">
      <c r="A368" t="s">
        <v>393</v>
      </c>
      <c r="B368" t="s">
        <v>16</v>
      </c>
      <c r="C368" t="s">
        <v>19</v>
      </c>
      <c r="D368">
        <v>0</v>
      </c>
      <c r="E368" t="s">
        <v>18</v>
      </c>
      <c r="F368" t="s">
        <v>17</v>
      </c>
      <c r="G368">
        <v>9200</v>
      </c>
      <c r="H368">
        <v>0</v>
      </c>
      <c r="I368">
        <v>98</v>
      </c>
      <c r="J368">
        <v>180</v>
      </c>
      <c r="K368">
        <v>1</v>
      </c>
      <c r="L368" t="s">
        <v>32</v>
      </c>
      <c r="M368">
        <v>9200</v>
      </c>
      <c r="N368">
        <v>1.065217391304348E-2</v>
      </c>
      <c r="O368" t="s">
        <v>21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143B-3C43-4BBB-A367-9950A0716501}">
  <dimension ref="A1"/>
  <sheetViews>
    <sheetView tabSelected="1" zoomScale="61" zoomScaleNormal="77" workbookViewId="0">
      <selection activeCell="Z18" sqref="Z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Loan Approval</vt:lpstr>
      <vt:lpstr>Areawise Loan Approval</vt:lpstr>
      <vt:lpstr>Gender VS Average Income</vt:lpstr>
      <vt:lpstr>Education Vs Loan status</vt:lpstr>
      <vt:lpstr>Average loan amount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shivani awasthi</cp:lastModifiedBy>
  <dcterms:created xsi:type="dcterms:W3CDTF">2025-11-16T10:45:04Z</dcterms:created>
  <dcterms:modified xsi:type="dcterms:W3CDTF">2025-11-16T13:13:37Z</dcterms:modified>
</cp:coreProperties>
</file>